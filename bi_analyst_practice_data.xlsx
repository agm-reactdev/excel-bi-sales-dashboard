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Dashboard Practice" sheetId="1" r:id="rId1"/>
    <sheet name="Raw Sales Data" sheetId="2" r:id="rId2"/>
    <sheet name="Clean_Data" sheetId="3" r:id="rId3"/>
    <sheet name="Monthly_Sales" sheetId="4" r:id="rId4"/>
    <sheet name="Top_Region_Sales" sheetId="5" r:id="rId5"/>
    <sheet name="Product_wise_sales" sheetId="6" r:id="rId6"/>
  </sheets>
  <calcPr calcId="162913"/>
  <pivotCaches>
    <pivotCache cacheId="7" r:id="rId7"/>
  </pivotCaches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F246" i="3"/>
  <c r="L2" i="3" l="1"/>
  <c r="L144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F2" i="3"/>
  <c r="F205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</calcChain>
</file>

<file path=xl/sharedStrings.xml><?xml version="1.0" encoding="utf-8"?>
<sst xmlns="http://schemas.openxmlformats.org/spreadsheetml/2006/main" count="4400" uniqueCount="423">
  <si>
    <t>BI Analyst Dashboard Practice</t>
  </si>
  <si>
    <t>Use the Raw Sales Data sheet after cleaning it. Build your analysis here with PivotTables, formulas, or Power Query.</t>
  </si>
  <si>
    <t>Practice checklist</t>
  </si>
  <si>
    <t>Status</t>
  </si>
  <si>
    <t>Your dashboard area</t>
  </si>
  <si>
    <t>Remove exact duplicate orders</t>
  </si>
  <si>
    <t>Standardize Region, Product and Customer Type</t>
  </si>
  <si>
    <t>Create a Month field from Order Date</t>
  </si>
  <si>
    <t>Calculate monthly Sales and Profit</t>
  </si>
  <si>
    <t>Create top Products and top Regions</t>
  </si>
  <si>
    <t>Suggested analyses</t>
  </si>
  <si>
    <t>Monthly Sales</t>
  </si>
  <si>
    <t>Month + Sum of Sales</t>
  </si>
  <si>
    <t>Monthly Profit</t>
  </si>
  <si>
    <t>Month + Sum of Profit</t>
  </si>
  <si>
    <t>Top Products</t>
  </si>
  <si>
    <t>Product + Sum of Sales</t>
  </si>
  <si>
    <t>Top Regions</t>
  </si>
  <si>
    <t>Region + Sum of Sales</t>
  </si>
  <si>
    <t>Profit Margin</t>
  </si>
  <si>
    <t>Profit ÷ Sales</t>
  </si>
  <si>
    <t>Sales by Category</t>
  </si>
  <si>
    <t>Category + Sum of Sales</t>
  </si>
  <si>
    <t>Data Quality</t>
  </si>
  <si>
    <t>Duplicate count, blanks, inconsistent labels</t>
  </si>
  <si>
    <t>Tip</t>
  </si>
  <si>
    <t>Do the cleaning on a copy or with Power Query. Keep Raw Sales Data unchanged as your source.</t>
  </si>
  <si>
    <t>Order ID</t>
  </si>
  <si>
    <t>Order Date</t>
  </si>
  <si>
    <t>Region</t>
  </si>
  <si>
    <t>City</t>
  </si>
  <si>
    <t>Customer Type</t>
  </si>
  <si>
    <t>Product Category</t>
  </si>
  <si>
    <t>Product</t>
  </si>
  <si>
    <t>Quantity</t>
  </si>
  <si>
    <t>Unit Price</t>
  </si>
  <si>
    <t>Discount</t>
  </si>
  <si>
    <t>Sales</t>
  </si>
  <si>
    <t>Cost</t>
  </si>
  <si>
    <t>Profit</t>
  </si>
  <si>
    <t>Salesperson</t>
  </si>
  <si>
    <t>ORD-1001</t>
  </si>
  <si>
    <t>06/18/2025</t>
  </si>
  <si>
    <t>central</t>
  </si>
  <si>
    <t>Faisalabad</t>
  </si>
  <si>
    <t>Wholesale</t>
  </si>
  <si>
    <t>Electronics</t>
  </si>
  <si>
    <t>wireless mouse</t>
  </si>
  <si>
    <t>Ali</t>
  </si>
  <si>
    <t>ORD-1002</t>
  </si>
  <si>
    <t>North</t>
  </si>
  <si>
    <t>Lahore</t>
  </si>
  <si>
    <t>Accessories</t>
  </si>
  <si>
    <t>Water Bottle</t>
  </si>
  <si>
    <t>Hamza</t>
  </si>
  <si>
    <t>ORD-1003</t>
  </si>
  <si>
    <t>South</t>
  </si>
  <si>
    <t>Karachi</t>
  </si>
  <si>
    <t>Online</t>
  </si>
  <si>
    <t>Keyboard Cover</t>
  </si>
  <si>
    <t>ORD-1004</t>
  </si>
  <si>
    <t>East</t>
  </si>
  <si>
    <t>Islamabad</t>
  </si>
  <si>
    <t>Ayesha</t>
  </si>
  <si>
    <t>ORD-1005</t>
  </si>
  <si>
    <t>Hira</t>
  </si>
  <si>
    <t>ORD-1006</t>
  </si>
  <si>
    <t>West</t>
  </si>
  <si>
    <t>Peshawar</t>
  </si>
  <si>
    <t>Furniture</t>
  </si>
  <si>
    <t>Bookshelf</t>
  </si>
  <si>
    <t>ORD-1007</t>
  </si>
  <si>
    <t>Corporate</t>
  </si>
  <si>
    <t>ORD-1008</t>
  </si>
  <si>
    <t>Central</t>
  </si>
  <si>
    <t>Wireless Mouse</t>
  </si>
  <si>
    <t>ORD-1009</t>
  </si>
  <si>
    <t>Zainab</t>
  </si>
  <si>
    <t>ORD-1010</t>
  </si>
  <si>
    <t>Ergonomic Chair</t>
  </si>
  <si>
    <t>ORD-1011</t>
  </si>
  <si>
    <t>Standing Desk</t>
  </si>
  <si>
    <t>ORD-1012</t>
  </si>
  <si>
    <t>ORD-1013</t>
  </si>
  <si>
    <t>Office Supplies</t>
  </si>
  <si>
    <t>Notebook Set</t>
  </si>
  <si>
    <t>ORD-1014</t>
  </si>
  <si>
    <t>ORD-1015</t>
  </si>
  <si>
    <t>Usman</t>
  </si>
  <si>
    <t>ORD-1016</t>
  </si>
  <si>
    <t>Retail</t>
  </si>
  <si>
    <t>Laptop Sleeve</t>
  </si>
  <si>
    <t>ORD-1017</t>
  </si>
  <si>
    <t>USB-C Hub</t>
  </si>
  <si>
    <t>ORD-1018</t>
  </si>
  <si>
    <t>ORD-1019</t>
  </si>
  <si>
    <t>Printer Paper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</si>
  <si>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</si>
  <si>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</si>
  <si>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</si>
  <si>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</si>
  <si>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</si>
  <si>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</si>
  <si>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</si>
  <si>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</si>
  <si>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</si>
  <si>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</si>
  <si>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</si>
  <si>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</si>
  <si>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</si>
  <si>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</si>
  <si>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</si>
  <si>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</si>
  <si>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</si>
  <si>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</si>
  <si>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</si>
  <si>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Laptop Stand</t>
  </si>
  <si>
    <t>ORD-1039</t>
  </si>
  <si>
    <t>ORD-1040</t>
  </si>
  <si>
    <t>ORD-1041</t>
  </si>
  <si>
    <t>ORD-1042</t>
  </si>
  <si>
    <t>north</t>
  </si>
  <si>
    <t>ORD-1043</t>
  </si>
  <si>
    <t>ORD-1044</t>
  </si>
  <si>
    <t>ORD-1045</t>
  </si>
  <si>
    <t>ORD-1046</t>
  </si>
  <si>
    <t>ORD-1047</t>
  </si>
  <si>
    <t>ORD-1048</t>
  </si>
  <si>
    <t>keyboard cover</t>
  </si>
  <si>
    <t>ORD-1049</t>
  </si>
  <si>
    <t>ORD-1050</t>
  </si>
  <si>
    <t>ORD-1051</t>
  </si>
  <si>
    <t>ORD-1052</t>
  </si>
  <si>
    <t>ORD-1053</t>
  </si>
  <si>
    <t>Desk Organizer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</si>
  <si>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</si>
  <si>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</si>
  <si>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</si>
  <si>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</si>
  <si>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</si>
  <si>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</si>
  <si>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</si>
  <si>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</si>
  <si>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</si>
  <si>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</si>
  <si>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</si>
  <si>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</si>
  <si>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</si>
  <si>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</si>
  <si>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</si>
  <si>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</si>
  <si>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</si>
  <si>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</si>
  <si>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</si>
  <si>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</si>
  <si>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</si>
  <si>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</si>
  <si>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</si>
  <si>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</si>
  <si>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</si>
  <si>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</si>
  <si>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</si>
  <si>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</si>
  <si>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</si>
  <si>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</si>
  <si>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south</t>
  </si>
  <si>
    <t>ORD-1084</t>
  </si>
  <si>
    <t>ORD-1085</t>
  </si>
  <si>
    <t>ORD-1086</t>
  </si>
  <si>
    <t>ORD-1087</t>
  </si>
  <si>
    <t>ORD-1088</t>
  </si>
  <si>
    <t>ORD-1089</t>
  </si>
  <si>
    <t>ORD-1090</t>
  </si>
  <si>
    <t>06/01/2026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</si>
  <si>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</si>
  <si>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</si>
  <si>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</si>
  <si>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</si>
  <si>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</si>
  <si>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</si>
  <si>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</si>
  <si>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</si>
  <si>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</si>
  <si>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</si>
  <si>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</si>
  <si>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</si>
  <si>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</si>
  <si>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</si>
  <si>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</si>
  <si>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</si>
  <si>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</si>
  <si>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</si>
  <si>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</si>
  <si>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</si>
  <si>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</si>
  <si>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</si>
  <si>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</si>
  <si>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</si>
  <si>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</si>
  <si>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</si>
  <si>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</si>
  <si>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</si>
  <si>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</si>
  <si>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</si>
  <si>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</si>
  <si>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</si>
  <si>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</si>
  <si>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</si>
  <si>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</si>
  <si>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</si>
  <si>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</si>
  <si>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</si>
  <si>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</si>
  <si>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</si>
  <si>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</si>
  <si>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</si>
  <si>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</si>
  <si>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</si>
  <si>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</si>
  <si>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</si>
  <si>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</si>
  <si>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</si>
  <si>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</si>
  <si>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</si>
  <si>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</si>
  <si>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</si>
  <si>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laptop stand</t>
  </si>
  <si>
    <t>ORD-1143</t>
  </si>
  <si>
    <t>USB C Hub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</si>
  <si>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</si>
  <si>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</si>
  <si>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</si>
  <si>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</si>
  <si>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</si>
  <si>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</si>
  <si>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</si>
  <si>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</si>
  <si>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</si>
  <si>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</si>
  <si>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</si>
  <si>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</si>
  <si>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</si>
  <si>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</si>
  <si>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</si>
  <si>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</si>
  <si>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</si>
  <si>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</si>
  <si>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</si>
  <si>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</si>
  <si>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</si>
  <si>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</si>
  <si>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west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</si>
  <si>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</si>
  <si>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</si>
  <si>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</si>
  <si>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</si>
  <si>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</si>
  <si>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</si>
  <si>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</si>
  <si>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</si>
  <si>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</si>
  <si>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</si>
  <si>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</si>
  <si>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</si>
  <si>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</si>
  <si>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</si>
  <si>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01/24/2025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</si>
  <si>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</si>
  <si>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</si>
  <si>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</si>
  <si>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</si>
  <si>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</si>
  <si>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</si>
  <si>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</si>
  <si>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</si>
  <si>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</si>
  <si>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</si>
  <si>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printer paper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</si>
  <si>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</si>
  <si>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</si>
  <si>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</si>
  <si>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</si>
  <si>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</si>
  <si>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</si>
  <si>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</si>
  <si>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</si>
  <si>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</si>
  <si>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</si>
  <si>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online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</si>
  <si>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</si>
  <si>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</si>
  <si>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</si>
  <si>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</si>
  <si>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</si>
  <si>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</si>
  <si>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</si>
  <si>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</si>
  <si>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</si>
  <si>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</si>
  <si>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</si>
  <si>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</si>
  <si>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</si>
  <si>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</si>
  <si>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</si>
  <si>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</si>
  <si>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</si>
  <si>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</si>
  <si>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</si>
  <si>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</si>
  <si>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</si>
  <si>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</si>
  <si>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</si>
  <si>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</si>
  <si>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</si>
  <si>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</si>
  <si>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</si>
  <si>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</si>
  <si>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</si>
  <si>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</si>
  <si>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</si>
  <si>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</si>
  <si>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</si>
  <si>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</si>
  <si>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</si>
  <si>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</si>
  <si>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</si>
  <si>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</si>
  <si>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</si>
  <si>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</si>
  <si>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</si>
  <si>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</si>
  <si>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</si>
  <si>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</si>
  <si>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</si>
  <si>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</si>
  <si>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Centrl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</si>
  <si>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</si>
  <si>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</si>
  <si>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</si>
  <si>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</si>
  <si>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</si>
  <si>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</si>
  <si>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</si>
  <si>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</si>
  <si>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</si>
  <si>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</si>
  <si>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</si>
  <si>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</si>
  <si>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</si>
  <si>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</si>
  <si>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</si>
  <si>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</si>
  <si>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</si>
  <si>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</si>
  <si>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</si>
  <si>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</si>
  <si>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</si>
  <si>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</si>
  <si>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</si>
  <si>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09/26/2026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</si>
  <si>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</si>
  <si>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</si>
  <si>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</si>
  <si>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</si>
  <si>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</si>
  <si>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</si>
  <si>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</si>
  <si>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</si>
  <si>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</si>
  <si>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</si>
  <si>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</si>
  <si>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</si>
  <si>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</si>
  <si>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</si>
  <si>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</si>
  <si>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bookshelf</t>
  </si>
  <si>
    <t>ORD-1284</t>
  </si>
  <si>
    <t>ORD-1285</t>
  </si>
  <si>
    <t>ORD-1286</t>
  </si>
  <si>
    <t>ORD-1287</t>
  </si>
  <si>
    <t>ORD-1288</t>
  </si>
  <si>
    <t>east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</si>
  <si>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</si>
  <si>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</si>
  <si>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</si>
  <si>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</si>
  <si>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</si>
  <si>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</si>
  <si>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</si>
  <si>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</si>
  <si>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</si>
  <si>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</si>
  <si>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</si>
  <si>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</si>
  <si>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Region2</t>
  </si>
  <si>
    <t>Product2</t>
  </si>
  <si>
    <t>Usb-C Hub</t>
  </si>
  <si>
    <t>Unknown</t>
  </si>
  <si>
    <t>Customer Type2</t>
  </si>
  <si>
    <t>Year</t>
  </si>
  <si>
    <t>Month</t>
  </si>
  <si>
    <t>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</si>
  <si>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</si>
  <si>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</si>
  <si>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</si>
  <si>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</si>
  <si>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</si>
  <si>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</si>
  <si>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</si>
  <si>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</si>
  <si>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</si>
  <si>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</si>
  <si>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</si>
  <si>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</si>
  <si>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</si>
  <si>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Row Labels</t>
  </si>
  <si>
    <t>Sum of Sales</t>
  </si>
  <si>
    <t>Sum of Profit</t>
  </si>
  <si>
    <t>Product Wise Sales</t>
  </si>
  <si>
    <t>Region Wise Sales</t>
  </si>
  <si>
    <t>Monthly Wise Sales &amp; Profi</t>
  </si>
  <si>
    <t>Add KPI cards here:
• Total Sales : 81061.4
• Total Profit : 32976.76
• Profit Margin : 41%
• Total Orders  : 300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</si>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</sst>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>
    <font>
      <sz val="11"/>
      <name val="Carlito"/>
    </font>
    <font>
      <b/>
      <sz val="10"/>
      <color rgb="FFFFFFFF"/>
      <name val="Arial"/>
    </font>
    <font>
      <sz val="10"/>
      <color rgb="FF1F2937"/>
      <name val="Arial"/>
    </font>
    <font>
      <b/>
      <sz val="16"/>
      <color rgb="FF1F2937"/>
      <name val="Arial"/>
    </font>
    <font>
      <i/>
      <sz val="10"/>
      <color rgb="FF4B5563"/>
      <name val="Arial"/>
    </font>
    <font>
      <b/>
      <sz val="10"/>
      <color rgb="FF1F2937"/>
      <name val="Arial"/>
    </font>
    <font>
      <sz val="10"/>
      <name val="Arial"/>
    </font>
    <font>
      <sz val="11"/>
      <color rgb="FF6B7280"/>
      <name val="Arial"/>
    </font>
    <font>
      <sz val="16"/>
      <color theme="8" tint="-0.249977111117893"/>
      <name val="Carlito"/>
    </font>
    <font>
      <sz val="14"/>
      <color theme="8" tint="-0.249977111117893"/>
      <name val="Carlito"/>
    </font>
    <font>
      <sz val="10"/>
      <name val="Arial"/>
      <family val="2"/>
    </font>
    <font>
      <sz val="11"/>
      <color rgb="FF6B72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/>
    <xf numFmtId="164" fontId="2" fillId="0" borderId="0" xfId="0" applyNumberFormat="1" applyFont="1" applyFill="1" applyBorder="1"/>
    <xf numFmtId="3" fontId="2" fillId="0" borderId="0" xfId="0" applyNumberFormat="1" applyFont="1" applyFill="1" applyBorder="1"/>
    <xf numFmtId="4" fontId="2" fillId="0" borderId="0" xfId="0" applyNumberFormat="1" applyFont="1" applyFill="1" applyBorder="1"/>
    <xf numFmtId="9" fontId="2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10" xfId="0" applyNumberFormat="1" applyFont="1" applyFill="1" applyBorder="1" applyAlignment="1">
      <alignment vertical="center" wrapText="1"/>
    </xf>
    <xf numFmtId="0" fontId="0" fillId="0" borderId="0" xfId="0"/>
    <xf numFmtId="0" fontId="3" fillId="0" borderId="0" xfId="0" applyNumberFormat="1" applyFont="1" applyFill="1" applyBorder="1" applyAlignment="1">
      <alignment vertical="center"/>
    </xf>
    <xf numFmtId="0" fontId="0" fillId="0" borderId="0" xfId="0"/>
    <xf numFmtId="0" fontId="4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7" fillId="4" borderId="3" xfId="0" applyNumberFormat="1" applyFont="1" applyFill="1" applyBorder="1" applyAlignment="1">
      <alignment vertical="top" wrapText="1"/>
    </xf>
    <xf numFmtId="0" fontId="7" fillId="4" borderId="4" xfId="0" applyNumberFormat="1" applyFont="1" applyFill="1" applyBorder="1" applyAlignment="1">
      <alignment vertical="top" wrapText="1"/>
    </xf>
    <xf numFmtId="0" fontId="7" fillId="4" borderId="5" xfId="0" applyNumberFormat="1" applyFont="1" applyFill="1" applyBorder="1" applyAlignment="1">
      <alignment vertical="top" wrapText="1"/>
    </xf>
    <xf numFmtId="0" fontId="7" fillId="4" borderId="0" xfId="0" applyNumberFormat="1" applyFont="1" applyFill="1" applyBorder="1" applyAlignment="1">
      <alignment vertical="top" wrapText="1"/>
    </xf>
    <xf numFmtId="0" fontId="7" fillId="4" borderId="6" xfId="0" applyNumberFormat="1" applyFont="1" applyFill="1" applyBorder="1" applyAlignment="1">
      <alignment vertical="top" wrapText="1"/>
    </xf>
    <xf numFmtId="0" fontId="7" fillId="4" borderId="7" xfId="0" applyNumberFormat="1" applyFont="1" applyFill="1" applyBorder="1" applyAlignment="1">
      <alignment vertical="top" wrapText="1"/>
    </xf>
    <xf numFmtId="0" fontId="7" fillId="4" borderId="8" xfId="0" applyNumberFormat="1" applyFont="1" applyFill="1" applyBorder="1" applyAlignment="1">
      <alignment vertical="top" wrapText="1"/>
    </xf>
    <xf numFmtId="0" fontId="7" fillId="4" borderId="9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left"/>
    </xf>
    <xf numFmtId="0" fontId="8" fillId="5" borderId="0" xfId="0" applyFont="1" applyFill="1" applyAlignment="1">
      <alignment horizontal="centerContinuous"/>
    </xf>
    <xf numFmtId="0" fontId="9" fillId="5" borderId="0" xfId="0" applyFont="1" applyFill="1" applyAlignment="1">
      <alignment horizontal="centerContinuous"/>
    </xf>
    <xf numFmtId="0" fontId="11" fillId="4" borderId="2" xfId="0" applyNumberFormat="1" applyFont="1" applyFill="1" applyBorder="1" applyAlignment="1">
      <alignment vertical="top" wrapText="1"/>
    </xf>
    <xf numFmtId="9" fontId="0" fillId="0" borderId="0" xfId="0" applyNumberFormat="1"/>
    <xf numFmtId="0" fontId="10" fillId="0" borderId="1" xfId="0" applyNumberFormat="1" applyFont="1" applyFill="1" applyBorder="1"/>
  </cellXfs>
  <cellStyles count="1">
    <cellStyle name="Normal" xfId="0" builtinId="0"/>
  </cellStyles>
  <dxfs count="12"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alignment horizontal="center" readingOrder="0"/>
    </dxf>
    <dxf>
      <alignment horizontal="left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[bi_analyst_practice_data.xlsx]Monthly_Sales!PivotTable1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Monthly_Sales!$C$4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Monthly_Sales!$B$5:$B$17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Monthly_Sales!$C$5:$C$17</c:f>
              <c:numCache>
                <c:formatCode>General</c:formatCode>
                <c:ptCount val="12"/>
                <c:pt idx="0">
                  <c:v>4637.5600000000004</c:v>
                </c:pt>
                <c:pt idx="1">
                  <c:v>9184.94</c:v>
                </c:pt>
                <c:pt idx="2">
                  <c:v>5739.59</c:v>
                </c:pt>
                <c:pt idx="3">
                  <c:v>8744.3299999999981</c:v>
                </c:pt>
                <c:pt idx="4">
                  <c:v>10735.780000000002</c:v>
                </c:pt>
                <c:pt idx="5">
                  <c:v>2958.7699999999995</c:v>
                </c:pt>
                <c:pt idx="6">
                  <c:v>5021.4699999999984</c:v>
                </c:pt>
                <c:pt idx="7">
                  <c:v>2701.9900000000007</c:v>
                </c:pt>
                <c:pt idx="8">
                  <c:v>9166.52</c:v>
                </c:pt>
                <c:pt idx="9">
                  <c:v>7374.0199999999995</c:v>
                </c:pt>
                <c:pt idx="10">
                  <c:v>6535.2100000000009</c:v>
                </c:pt>
                <c:pt idx="11">
                  <c:v>8261.2200000000012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8-47B0-9C2D-FE74BE4310F6}"/>
            </c:ext>
          </c:extLst>
        </c:ser>
        <c:ser>
          <c:idx val="1"/>
          <c:order val="1"/>
          <c:tx>
            <c:strRef>
              <c:f>Monthly_Sales!$D$4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Monthly_Sales!$B$5:$B$17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Monthly_Sales!$D$5:$D$17</c:f>
              <c:numCache>
                <c:formatCode>General</c:formatCode>
                <c:ptCount val="12"/>
                <c:pt idx="0">
                  <c:v>1934.11</c:v>
                </c:pt>
                <c:pt idx="1">
                  <c:v>3572.64</c:v>
                </c:pt>
                <c:pt idx="2">
                  <c:v>2456.75</c:v>
                </c:pt>
                <c:pt idx="3">
                  <c:v>3598.9199999999992</c:v>
                </c:pt>
                <c:pt idx="4">
                  <c:v>4242.8</c:v>
                </c:pt>
                <c:pt idx="5">
                  <c:v>1361.18</c:v>
                </c:pt>
                <c:pt idx="6">
                  <c:v>1945.1999999999998</c:v>
                </c:pt>
                <c:pt idx="7">
                  <c:v>1223.8700000000001</c:v>
                </c:pt>
                <c:pt idx="8">
                  <c:v>3590.87</c:v>
                </c:pt>
                <c:pt idx="9">
                  <c:v>2789.55</c:v>
                </c:pt>
                <c:pt idx="10">
                  <c:v>2698.2000000000003</c:v>
                </c:pt>
                <c:pt idx="11">
                  <c:v>3562.6699999999996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8-47B0-9C2D-FE74BE431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088543"/>
        <c:axId val="1286085215"/>
      </c:barChart>
      <c:catAx>
        <c:axId val="128608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85215"/>
        <c:crosses val="autoZero"/>
        <c:auto val="1"/>
        <c:lblAlgn val="ctr"/>
        <c:lblOffset val="100"/>
        <c:noMultiLvlLbl val="0"/>
      </c:catAx>
      <c:valAx>
        <c:axId val="128608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8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[bi_analyst_practice_data.xlsx]Top_Region_Sales!PivotTable2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714791668923091"/>
          <c:y val="0.34555831527770436"/>
          <c:w val="0.50175611129764208"/>
          <c:h val="0.272171431591185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Top_Region_Sales!$F$4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Top_Region_Sales!$E$5:$E$10</c:f>
              <c:strCache>
                <c:ptCount val="5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Top_Region_Sales!$F$5:$F$10</c:f>
              <c:numCache>
                <c:formatCode>General</c:formatCode>
                <c:ptCount val="5"/>
                <c:pt idx="0">
                  <c:v>19783.129999999997</c:v>
                </c:pt>
                <c:pt idx="1">
                  <c:v>19279.88</c:v>
                </c:pt>
                <c:pt idx="2">
                  <c:v>17631.04</c:v>
                </c:pt>
                <c:pt idx="3">
                  <c:v>14740.930000000002</c:v>
                </c:pt>
                <c:pt idx="4">
                  <c:v>9626.4199999999983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7-4895-889B-D17CB3D0A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089375"/>
        <c:axId val="1286091871"/>
      </c:barChart>
      <c:catAx>
        <c:axId val="128608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91871"/>
        <c:crosses val="autoZero"/>
        <c:auto val="1"/>
        <c:lblAlgn val="ctr"/>
        <c:lblOffset val="100"/>
        <c:noMultiLvlLbl val="0"/>
      </c:catAx>
      <c:valAx>
        <c:axId val="128609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8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[bi_analyst_practice_data.xlsx]Product_wise_sales!PivotTable3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Product_wise_sales!$G$3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Product_wise_sales!$F$4:$F$16</c:f>
              <c:strCache>
                <c:ptCount val="12"/>
                <c:pt idx="0">
                  <c:v>Standing Desk</c:v>
                </c:pt>
                <c:pt idx="1">
                  <c:v>Bookshelf</c:v>
                </c:pt>
                <c:pt idx="2">
                  <c:v>Ergonomic Chair</c:v>
                </c:pt>
                <c:pt idx="3">
                  <c:v>Usb-C Hub</c:v>
                </c:pt>
                <c:pt idx="4">
                  <c:v>Laptop Stand</c:v>
                </c:pt>
                <c:pt idx="5">
                  <c:v>Laptop Sleeve</c:v>
                </c:pt>
                <c:pt idx="6">
                  <c:v>Desk Organizer</c:v>
                </c:pt>
                <c:pt idx="7">
                  <c:v>Keyboard Cover</c:v>
                </c:pt>
                <c:pt idx="8">
                  <c:v>Wireless Mouse</c:v>
                </c:pt>
                <c:pt idx="9">
                  <c:v>Water Bottle</c:v>
                </c:pt>
                <c:pt idx="10">
                  <c:v>Notebook Set</c:v>
                </c:pt>
                <c:pt idx="11">
                  <c:v>Printer Paper</c:v>
                </c:pt>
              </c:strCache>
            </c:strRef>
          </c:cat>
          <c:val>
            <c:numRef>
              <c:f>Product_wise_sales!$G$4:$G$16</c:f>
              <c:numCache>
                <c:formatCode>General</c:formatCode>
                <c:ptCount val="12"/>
                <c:pt idx="0">
                  <c:v>27758.889999999996</c:v>
                </c:pt>
                <c:pt idx="1">
                  <c:v>18544.060000000001</c:v>
                </c:pt>
                <c:pt idx="2">
                  <c:v>14800.5</c:v>
                </c:pt>
                <c:pt idx="3">
                  <c:v>4385.1900000000005</c:v>
                </c:pt>
                <c:pt idx="4">
                  <c:v>2635.47</c:v>
                </c:pt>
                <c:pt idx="5">
                  <c:v>2592.9700000000003</c:v>
                </c:pt>
                <c:pt idx="6">
                  <c:v>2373.13</c:v>
                </c:pt>
                <c:pt idx="7">
                  <c:v>2218.3499999999995</c:v>
                </c:pt>
                <c:pt idx="8">
                  <c:v>1614.9</c:v>
                </c:pt>
                <c:pt idx="9">
                  <c:v>1608.7999999999993</c:v>
                </c:pt>
                <c:pt idx="10">
                  <c:v>1396.27</c:v>
                </c:pt>
                <c:pt idx="11">
                  <c:v>1132.8700000000001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D-41E6-A360-3C280551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087295"/>
        <c:axId val="1286091039"/>
      </c:barChart>
      <c:catAx>
        <c:axId val="128608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91039"/>
        <c:crosses val="autoZero"/>
        <c:auto val="1"/>
        <c:lblAlgn val="ctr"/>
        <c:lblOffset val="100"/>
        <c:noMultiLvlLbl val="0"/>
      </c:catAx>
      <c:valAx>
        <c:axId val="128609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8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5</xdr:row>
      <xdr:rowOff>60325</xdr:rowOff>
    </xdr:from>
    <xdr:to>
      <xdr:col>7</xdr:col>
      <xdr:colOff>3181350</xdr:colOff>
      <xdr:row>9</xdr:row>
      <xdr:rowOff>869950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1133475</xdr:colOff>
      <xdr:row>5</xdr:row>
      <xdr:rowOff>95250</xdr:rowOff>
    </xdr:from>
    <xdr:to>
      <xdr:col>7</xdr:col>
      <xdr:colOff>698500</xdr:colOff>
      <xdr:row>9</xdr:row>
      <xdr:rowOff>869950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247651</xdr:colOff>
      <xdr:row>5</xdr:row>
      <xdr:rowOff>88900</xdr:rowOff>
    </xdr:from>
    <xdr:to>
      <xdr:col>5</xdr:col>
      <xdr:colOff>1035051</xdr:colOff>
      <xdr:row>9</xdr:row>
      <xdr:rowOff>863600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93.680129745371" createdVersion="6" refreshedVersion="6" minRefreshableVersion="3" recordCount="300">
  <cacheSource type="worksheet">
    <worksheetSource name="RawSalesTable3"/>
  </cacheSource>
  <cacheFields count="20">
    <cacheField name="Order ID" numFmtId="0">
      <sharedItems/>
    </cacheField>
    <cacheField name="Month" numFmtId="0">
      <sharedItems count="12">
        <s v="Jun"/>
        <s v="Nov"/>
        <s v="Aug"/>
        <s v="Mar"/>
        <s v="Dec"/>
        <s v="May"/>
        <s v="Sep"/>
        <s v="Jul"/>
        <s v="Feb"/>
        <s v="Oct"/>
        <s v="Apr"/>
        <s v="Jan"/>
      </sharedItems>
    </cacheField>
    <cacheField name="Year" numFmtId="0">
      <sharedItems/>
    </cacheField>
    <cacheField name="Day" numFmtId="0">
      <sharedItems/>
    </cacheField>
    <cacheField name="Order Date" numFmtId="164">
      <sharedItems containsDate="1" containsMixedTypes="1" minDate="2025-01-01T00:00:00" maxDate="2026-12-25T00:00:00"/>
    </cacheField>
    <cacheField name="Region" numFmtId="164">
      <sharedItems count="5">
        <s v="Central"/>
        <s v="North"/>
        <s v="South"/>
        <s v="East"/>
        <s v="West"/>
      </sharedItems>
    </cacheField>
    <cacheField name="Region2" numFmtId="0">
      <sharedItems/>
    </cacheField>
    <cacheField name="City" numFmtId="0">
      <sharedItems/>
    </cacheField>
    <cacheField name="Customer Type" numFmtId="0">
      <sharedItems/>
    </cacheField>
    <cacheField name="Customer Type2" numFmtId="0">
      <sharedItems/>
    </cacheField>
    <cacheField name="Product Category" numFmtId="0">
      <sharedItems/>
    </cacheField>
    <cacheField name="Product" numFmtId="0">
      <sharedItems count="12">
        <s v="Wireless Mouse"/>
        <s v="Water Bottle"/>
        <s v="Keyboard Cover"/>
        <s v="Bookshelf"/>
        <s v="Ergonomic Chair"/>
        <s v="Standing Desk"/>
        <s v="Notebook Set"/>
        <s v="Laptop Sleeve"/>
        <s v="Usb-C Hub"/>
        <s v="Printer Paper"/>
        <s v="Laptop Stand"/>
        <s v="Desk Organizer"/>
      </sharedItems>
    </cacheField>
    <cacheField name="Product2" numFmtId="0">
      <sharedItems/>
    </cacheField>
    <cacheField name="Quantity" numFmtId="3">
      <sharedItems containsSemiMixedTypes="0" containsString="0" containsNumber="1" containsInteger="1" minValue="1" maxValue="12"/>
    </cacheField>
    <cacheField name="Unit Price" numFmtId="4">
      <sharedItems containsSemiMixedTypes="0" containsString="0" containsNumber="1" minValue="6.35" maxValue="261.54000000000002"/>
    </cacheField>
    <cacheField name="Discount" numFmtId="9">
      <sharedItems containsSemiMixedTypes="0" containsString="0" containsNumber="1" minValue="0" maxValue="0.15"/>
    </cacheField>
    <cacheField name="Sales" numFmtId="4">
      <sharedItems containsSemiMixedTypes="0" containsString="0" containsNumber="1" minValue="6.15" maxValue="2823.55" count="298">
        <n v="115.12"/>
        <n v="38.08"/>
        <n v="119.96"/>
        <n v="22.01"/>
        <n v="137.41999999999999"/>
        <n v="640.36"/>
        <n v="54.32"/>
        <n v="16.82"/>
        <n v="76.680000000000007"/>
        <n v="1417.1"/>
        <n v="1819.16"/>
        <n v="27.66"/>
        <n v="7.85"/>
        <n v="46.97"/>
        <n v="816.87"/>
        <n v="110.75"/>
        <n v="248.71"/>
        <n v="58.79"/>
        <n v="121.74"/>
        <n v="31.21"/>
        <n v="1589.84"/>
        <n v="74.709999999999994"/>
        <n v="69.23"/>
        <n v="92.32"/>
        <n v="102.82"/>
        <n v="68.2"/>
        <n v="148.54"/>
        <n v="12.49"/>
        <n v="19.45"/>
        <n v="760.05"/>
        <n v="98.61"/>
        <n v="540.64"/>
        <n v="1439.73"/>
        <n v="47.48"/>
        <n v="128.04"/>
        <n v="59.67"/>
        <n v="7.69"/>
        <n v="106.73"/>
        <n v="81.73"/>
        <n v="530.4"/>
        <n v="9.02"/>
        <n v="1039.96"/>
        <n v="216.81"/>
        <n v="1233.3399999999999"/>
        <n v="2084.7199999999998"/>
        <n v="1198.97"/>
        <n v="36"/>
        <n v="42.3"/>
        <n v="60.02"/>
        <n v="170.82"/>
        <n v="607.51"/>
        <n v="359.3"/>
        <n v="115.37"/>
        <n v="80.19"/>
        <n v="11.89"/>
        <n v="21.78"/>
        <n v="108.72"/>
        <n v="146.6"/>
        <n v="624.05999999999995"/>
        <n v="234.68"/>
        <n v="286.8"/>
        <n v="192.29"/>
        <n v="53.34"/>
        <n v="140.11000000000001"/>
        <n v="81.400000000000006"/>
        <n v="11.4"/>
        <n v="82.35"/>
        <n v="27.54"/>
        <n v="510.52"/>
        <n v="162.43"/>
        <n v="122.5"/>
        <n v="518.08000000000004"/>
        <n v="243.53"/>
        <n v="90.41"/>
        <n v="106.34"/>
        <n v="75.12"/>
        <n v="2326.5"/>
        <n v="55.06"/>
        <n v="2823.55"/>
        <n v="178.35"/>
        <n v="1447.89"/>
        <n v="10.33"/>
        <n v="88.72"/>
        <n v="102.32"/>
        <n v="74.47"/>
        <n v="40.700000000000003"/>
        <n v="241.77"/>
        <n v="35.28"/>
        <n v="869.83"/>
        <n v="77.06"/>
        <n v="829.61"/>
        <n v="41.2"/>
        <n v="44.68"/>
        <n v="151.27000000000001"/>
        <n v="153.1"/>
        <n v="374.25"/>
        <n v="177.77"/>
        <n v="60.95"/>
        <n v="157.97999999999999"/>
        <n v="132.33000000000001"/>
        <n v="29.81"/>
        <n v="165.36"/>
        <n v="45.34"/>
        <n v="197.37"/>
        <n v="324.87"/>
        <n v="213.85"/>
        <n v="103.7"/>
        <n v="131.53"/>
        <n v="53.38"/>
        <n v="673.22"/>
        <n v="154.02000000000001"/>
        <n v="6.15"/>
        <n v="34.380000000000003"/>
        <n v="10.78"/>
        <n v="224.9"/>
        <n v="30.97"/>
        <n v="81.319999999999993"/>
        <n v="66.92"/>
        <n v="233.36"/>
        <n v="45.77"/>
        <n v="12.22"/>
        <n v="222.53"/>
        <n v="85.79"/>
        <n v="208.67"/>
        <n v="95.74"/>
        <n v="62.19"/>
        <n v="114.29"/>
        <n v="270.24"/>
        <n v="45.46"/>
        <n v="88.36"/>
        <n v="633.28"/>
        <n v="160.29"/>
        <n v="1127.4000000000001"/>
        <n v="188.42"/>
        <n v="79.41"/>
        <n v="132.47999999999999"/>
        <n v="72.58"/>
        <n v="697.49"/>
        <n v="268.67"/>
        <n v="115.32"/>
        <n v="241.28"/>
        <n v="19.36"/>
        <n v="109.85"/>
        <n v="178.07"/>
        <n v="91.14"/>
        <n v="143.26"/>
        <n v="77.42"/>
        <n v="91.29"/>
        <n v="971.45"/>
        <n v="52.73"/>
        <n v="183.33"/>
        <n v="91.02"/>
        <n v="33.270000000000003"/>
        <n v="81.760000000000005"/>
        <n v="253.58"/>
        <n v="140.91"/>
        <n v="185.13"/>
        <n v="269.5"/>
        <n v="132.86000000000001"/>
        <n v="25.35"/>
        <n v="19.11"/>
        <n v="1227.4000000000001"/>
        <n v="64.599999999999994"/>
        <n v="1563.84"/>
        <n v="95.15"/>
        <n v="56.94"/>
        <n v="780.27"/>
        <n v="78.739999999999995"/>
        <n v="63.41"/>
        <n v="61.64"/>
        <n v="32.76"/>
        <n v="113.2"/>
        <n v="33.479999999999997"/>
        <n v="64.099999999999994"/>
        <n v="1040.47"/>
        <n v="102"/>
        <n v="149.56"/>
        <n v="30.43"/>
        <n v="598.12"/>
        <n v="1181.8399999999999"/>
        <n v="31.73"/>
        <n v="79.489999999999995"/>
        <n v="44.15"/>
        <n v="47.92"/>
        <n v="1642.09"/>
        <n v="248.15"/>
        <n v="139.94"/>
        <n v="656.67"/>
        <n v="48.32"/>
        <n v="137.71"/>
        <n v="78.569999999999993"/>
        <n v="241.26"/>
        <n v="357.5"/>
        <n v="196.38"/>
        <n v="98.47"/>
        <n v="44.61"/>
        <n v="66.099999999999994"/>
        <n v="1566.78"/>
        <n v="44.45"/>
        <n v="131.57"/>
        <n v="63.57"/>
        <n v="47.9"/>
        <n v="62.28"/>
        <n v="127.6"/>
        <n v="200.28"/>
        <n v="108.97"/>
        <n v="20.079999999999998"/>
        <n v="108.2"/>
        <n v="71.25"/>
        <n v="19.02"/>
        <n v="116.19"/>
        <n v="73.27"/>
        <n v="126.03"/>
        <n v="66.16"/>
        <n v="22.79"/>
        <n v="81.8"/>
        <n v="37.74"/>
        <n v="96.99"/>
        <n v="976.87"/>
        <n v="76.88"/>
        <n v="121.23"/>
        <n v="287.33999999999997"/>
        <n v="80.58"/>
        <n v="1035.3599999999999"/>
        <n v="18.149999999999999"/>
        <n v="235.57"/>
        <n v="69.17"/>
        <n v="191.76"/>
        <n v="14.6"/>
        <n v="94.48"/>
        <n v="2211.71"/>
        <n v="58.95"/>
        <n v="95.18"/>
        <n v="102.61"/>
        <n v="62.61"/>
        <n v="34.450000000000003"/>
        <n v="160.04"/>
        <n v="121.8"/>
        <n v="73.959999999999994"/>
        <n v="71.400000000000006"/>
        <n v="376.62"/>
        <n v="646.48"/>
        <n v="288.97000000000003"/>
        <n v="59.11"/>
        <n v="37.51"/>
        <n v="92.55"/>
        <n v="245.9"/>
        <n v="142.66"/>
        <n v="18.850000000000001"/>
        <n v="30.92"/>
        <n v="60.71"/>
        <n v="1033.52"/>
        <n v="1107.21"/>
        <n v="216.32"/>
        <n v="86.62"/>
        <n v="56.05"/>
        <n v="107.28"/>
        <n v="144.13"/>
        <n v="45.7"/>
        <n v="35.68"/>
        <n v="33.049999999999997"/>
        <n v="235.39"/>
        <n v="396.35"/>
        <n v="79"/>
        <n v="26.45"/>
        <n v="1098.29"/>
        <n v="86.7"/>
        <n v="9.48"/>
        <n v="100.64"/>
        <n v="11.95"/>
        <n v="1030.6400000000001"/>
        <n v="122.54"/>
        <n v="49.75"/>
        <n v="592.41"/>
        <n v="1044.79"/>
        <n v="22.27"/>
        <n v="270.86"/>
        <n v="900.69"/>
        <n v="66.2"/>
        <n v="115.47"/>
        <n v="41.78"/>
        <n v="971.55"/>
        <n v="1327.73"/>
        <n v="109.31"/>
        <n v="97.96"/>
        <n v="258.42"/>
        <n v="127.64"/>
        <n v="22.68"/>
        <n v="77.52"/>
        <n v="220.92"/>
        <n v="218.62"/>
        <n v="101.68"/>
        <n v="48.36"/>
        <n v="89.04"/>
        <n v="165.77"/>
        <n v="134.62"/>
        <n v="163.19"/>
        <n v="219.39"/>
      </sharedItems>
    </cacheField>
    <cacheField name="Cost" numFmtId="4">
      <sharedItems containsSemiMixedTypes="0" containsString="0" containsNumber="1" minValue="2.73" maxValue="1882.37"/>
    </cacheField>
    <cacheField name="Profit" numFmtId="4">
      <sharedItems containsSemiMixedTypes="0" containsString="0" containsNumber="1" minValue="3.42" maxValue="941.18"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ORD-1001"/>
    <x v="0"/>
    <s v="2025"/>
    <s v="Wednesday"/>
    <s v="06/18/2025"/>
    <x v="0"/>
    <s v="central"/>
    <s v="Faisalabad"/>
    <s v="Wholesale"/>
    <s v="Wholesale"/>
    <s v="Electronics"/>
    <x v="0"/>
    <s v="wireless mouse"/>
    <n v="8"/>
    <n v="16.93"/>
    <n v="0.15"/>
    <x v="0"/>
    <n v="65.010000000000005"/>
    <n v="50.11"/>
    <s v="Ali"/>
  </r>
  <r>
    <s v="ORD-1002"/>
    <x v="1"/>
    <s v="2026"/>
    <s v="Thursday"/>
    <d v="2026-11-26T00:00:00"/>
    <x v="1"/>
    <s v="North"/>
    <s v="Lahore"/>
    <s v="Wholesale"/>
    <s v="Wholesale"/>
    <s v="Accessories"/>
    <x v="1"/>
    <s v="Water Bottle"/>
    <n v="5"/>
    <n v="8.9600000000000009"/>
    <n v="0.15"/>
    <x v="1"/>
    <n v="19.260000000000002"/>
    <n v="18.82"/>
    <s v="Hamza"/>
  </r>
  <r>
    <s v="ORD-1003"/>
    <x v="0"/>
    <s v="2025"/>
    <s v="Friday"/>
    <d v="2025-06-20T00:00:00"/>
    <x v="2"/>
    <s v="South"/>
    <s v="Karachi"/>
    <s v="Online"/>
    <s v="Online"/>
    <s v="Accessories"/>
    <x v="2"/>
    <s v="Keyboard Cover"/>
    <n v="11"/>
    <n v="12.83"/>
    <n v="0.15"/>
    <x v="2"/>
    <n v="57.86"/>
    <n v="62.1"/>
    <s v="Ali"/>
  </r>
  <r>
    <s v="ORD-1004"/>
    <x v="2"/>
    <s v="2026"/>
    <s v="Saturday"/>
    <d v="2026-08-15T00:00:00"/>
    <x v="3"/>
    <s v="East"/>
    <s v="Islamabad"/>
    <s v="Online"/>
    <s v="Online"/>
    <s v="Accessories"/>
    <x v="1"/>
    <s v="Water Bottle"/>
    <n v="3"/>
    <n v="8.6300000000000008"/>
    <n v="0.15"/>
    <x v="3"/>
    <n v="11.13"/>
    <n v="10.88"/>
    <s v="Ayesha"/>
  </r>
  <r>
    <s v="ORD-1005"/>
    <x v="3"/>
    <s v="2025"/>
    <s v="Tuesday"/>
    <d v="2025-03-25T00:00:00"/>
    <x v="1"/>
    <s v="North"/>
    <s v="Lahore"/>
    <s v="Wholesale"/>
    <s v="Wholesale"/>
    <s v="Accessories"/>
    <x v="2"/>
    <s v="Keyboard Cover"/>
    <n v="11"/>
    <n v="13.15"/>
    <n v="0.05"/>
    <x v="4"/>
    <n v="59.31"/>
    <n v="78.11"/>
    <s v="Hira"/>
  </r>
  <r>
    <s v="ORD-1006"/>
    <x v="4"/>
    <s v="2026"/>
    <s v="Wednesday"/>
    <d v="2026-12-02T00:00:00"/>
    <x v="4"/>
    <s v="West"/>
    <s v="Peshawar"/>
    <s v="Online"/>
    <s v="Online"/>
    <s v="Furniture"/>
    <x v="3"/>
    <s v="Bookshelf"/>
    <n v="8"/>
    <n v="94.17"/>
    <n v="0.15"/>
    <x v="5"/>
    <n v="391.75"/>
    <n v="248.61"/>
    <s v="Ali"/>
  </r>
  <r>
    <s v="ORD-1007"/>
    <x v="0"/>
    <s v="2025"/>
    <s v="Monday"/>
    <d v="2025-06-23T00:00:00"/>
    <x v="1"/>
    <s v="North"/>
    <s v="Lahore"/>
    <s v="Corporate"/>
    <s v="Corporate"/>
    <s v="Accessories"/>
    <x v="2"/>
    <s v="Keyboard Cover"/>
    <n v="6"/>
    <n v="10.65"/>
    <n v="0.15"/>
    <x v="6"/>
    <n v="26.2"/>
    <n v="28.12"/>
    <s v="Hira"/>
  </r>
  <r>
    <s v="ORD-1008"/>
    <x v="1"/>
    <s v="2026"/>
    <s v="Tuesday"/>
    <d v="2026-11-03T00:00:00"/>
    <x v="0"/>
    <s v="central"/>
    <s v="Faisalabad"/>
    <s v="Corporate"/>
    <s v="Corporate"/>
    <s v="Electronics"/>
    <x v="0"/>
    <s v="wireless mouse"/>
    <n v="1"/>
    <n v="16.82"/>
    <n v="0"/>
    <x v="7"/>
    <n v="8.07"/>
    <n v="8.75"/>
    <s v="Hira"/>
  </r>
  <r>
    <s v="ORD-1009"/>
    <x v="2"/>
    <s v="2025"/>
    <s v="Tuesday"/>
    <d v="2025-08-05T00:00:00"/>
    <x v="1"/>
    <s v="North"/>
    <s v="Lahore"/>
    <s v="Online"/>
    <s v="Online"/>
    <s v="Accessories"/>
    <x v="2"/>
    <s v="Keyboard Cover"/>
    <n v="8"/>
    <n v="10.09"/>
    <n v="0.05"/>
    <x v="8"/>
    <n v="33.1"/>
    <n v="43.58"/>
    <s v="Zainab"/>
  </r>
  <r>
    <s v="ORD-1010"/>
    <x v="5"/>
    <s v="2026"/>
    <s v="Sunday"/>
    <d v="2026-05-17T00:00:00"/>
    <x v="1"/>
    <s v="North"/>
    <s v="Lahore"/>
    <s v="Corporate"/>
    <s v="Corporate"/>
    <s v="Furniture"/>
    <x v="4"/>
    <s v="Ergonomic Chair"/>
    <n v="10"/>
    <n v="141.71"/>
    <n v="0"/>
    <x v="9"/>
    <n v="821.92"/>
    <n v="595.17999999999995"/>
    <s v="Zainab"/>
  </r>
  <r>
    <s v="ORD-1011"/>
    <x v="3"/>
    <s v="2025"/>
    <s v="Wednesday"/>
    <d v="2025-03-05T00:00:00"/>
    <x v="0"/>
    <s v="central"/>
    <s v="Faisalabad"/>
    <s v="Wholesale"/>
    <s v="Wholesale"/>
    <s v="Furniture"/>
    <x v="5"/>
    <s v="Standing Desk"/>
    <n v="7"/>
    <n v="259.88"/>
    <n v="0"/>
    <x v="10"/>
    <n v="1091.5"/>
    <n v="727.66"/>
    <s v="Ayesha"/>
  </r>
  <r>
    <s v="ORD-1012"/>
    <x v="6"/>
    <s v="2026"/>
    <s v="Monday"/>
    <d v="2026-09-14T00:00:00"/>
    <x v="4"/>
    <s v="West"/>
    <s v="Peshawar"/>
    <s v="Corporate"/>
    <s v="Corporate"/>
    <s v="Electronics"/>
    <x v="0"/>
    <s v="wireless mouse"/>
    <n v="2"/>
    <n v="16.27"/>
    <n v="0.15"/>
    <x v="11"/>
    <n v="15.62"/>
    <n v="12.04"/>
    <s v="Ali"/>
  </r>
  <r>
    <s v="ORD-1013"/>
    <x v="2"/>
    <s v="2025"/>
    <s v="Saturday"/>
    <d v="2025-08-02T00:00:00"/>
    <x v="0"/>
    <s v="central"/>
    <s v="Faisalabad"/>
    <s v="Corporate"/>
    <s v="Corporate"/>
    <s v="Office Supplies"/>
    <x v="6"/>
    <s v="Notebook Set"/>
    <n v="1"/>
    <n v="7.85"/>
    <n v="0"/>
    <x v="12"/>
    <n v="3.14"/>
    <n v="4.71"/>
    <s v="Ali"/>
  </r>
  <r>
    <s v="ORD-1014"/>
    <x v="7"/>
    <s v="2026"/>
    <s v="Sunday"/>
    <d v="2026-07-26T00:00:00"/>
    <x v="4"/>
    <s v="West"/>
    <s v="Peshawar"/>
    <s v="Online"/>
    <s v="Online"/>
    <s v="Electronics"/>
    <x v="0"/>
    <s v="wireless mouse"/>
    <n v="3"/>
    <n v="16.48"/>
    <n v="0.05"/>
    <x v="13"/>
    <n v="23.73"/>
    <n v="23.24"/>
    <s v="Hamza"/>
  </r>
  <r>
    <s v="ORD-1015"/>
    <x v="8"/>
    <s v="2025"/>
    <s v="Sunday"/>
    <d v="2025-02-16T00:00:00"/>
    <x v="3"/>
    <s v="East"/>
    <s v="Islamabad"/>
    <s v="Corporate"/>
    <s v="Corporate"/>
    <s v="Furniture"/>
    <x v="3"/>
    <s v="Bookshelf"/>
    <n v="9"/>
    <n v="95.54"/>
    <n v="0.05"/>
    <x v="14"/>
    <n v="447.13"/>
    <n v="369.74"/>
    <s v="Usman"/>
  </r>
  <r>
    <s v="ORD-1016"/>
    <x v="9"/>
    <s v="2026"/>
    <s v="Saturday"/>
    <d v="2026-10-17T00:00:00"/>
    <x v="2"/>
    <s v="South"/>
    <s v="Karachi"/>
    <s v="Retail"/>
    <s v="Retail"/>
    <s v="Accessories"/>
    <x v="7"/>
    <s v="Laptop Sleeve"/>
    <n v="6"/>
    <n v="20.51"/>
    <n v="0.1"/>
    <x v="15"/>
    <n v="60.3"/>
    <n v="50.45"/>
    <s v="Usman"/>
  </r>
  <r>
    <s v="ORD-1017"/>
    <x v="7"/>
    <s v="2025"/>
    <s v="Sunday"/>
    <d v="2025-07-13T00:00:00"/>
    <x v="1"/>
    <s v="North"/>
    <s v="Lahore"/>
    <s v="Corporate"/>
    <s v="Corporate"/>
    <s v="Electronics"/>
    <x v="8"/>
    <s v="USB-C Hub"/>
    <n v="10"/>
    <n v="26.18"/>
    <n v="0.05"/>
    <x v="16"/>
    <n v="143.99"/>
    <n v="104.72"/>
    <s v="Hira"/>
  </r>
  <r>
    <s v="ORD-1018"/>
    <x v="5"/>
    <s v="2026"/>
    <s v="Friday"/>
    <d v="2026-05-22T00:00:00"/>
    <x v="2"/>
    <s v="South"/>
    <s v="Karachi"/>
    <s v="Corporate"/>
    <s v="Corporate"/>
    <s v="Electronics"/>
    <x v="0"/>
    <s v="wireless mouse"/>
    <n v="4"/>
    <n v="17.29"/>
    <n v="0.15"/>
    <x v="17"/>
    <n v="33.200000000000003"/>
    <n v="25.59"/>
    <s v="Hira"/>
  </r>
  <r>
    <s v="ORD-1019"/>
    <x v="8"/>
    <s v="2025"/>
    <s v="Wednesday"/>
    <d v="2025-02-05T00:00:00"/>
    <x v="2"/>
    <s v="South"/>
    <s v="Karachi"/>
    <s v="Wholesale"/>
    <s v="Wholesale"/>
    <s v="Office Supplies"/>
    <x v="9"/>
    <s v="Printer Paper"/>
    <n v="11"/>
    <n v="13.02"/>
    <n v="0.15"/>
    <x v="18"/>
    <n v="54.42"/>
    <n v="67.319999999999993"/>
    <s v="Hamza"/>
  </r>
  <r>
    <s v="ORD-1020"/>
    <x v="5"/>
    <s v="2026"/>
    <s v="Wednesday"/>
    <d v="2026-05-27T00:00:00"/>
    <x v="2"/>
    <s v="South"/>
    <s v="Karachi"/>
    <s v="Online"/>
    <s v="Online"/>
    <s v="Electronics"/>
    <x v="0"/>
    <s v="wireless mouse"/>
    <n v="2"/>
    <n v="18.36"/>
    <n v="0.15"/>
    <x v="19"/>
    <n v="17.63"/>
    <n v="13.58"/>
    <s v="Ayesha"/>
  </r>
  <r>
    <s v="ORD-1021"/>
    <x v="10"/>
    <s v="2025"/>
    <s v="Thursday"/>
    <d v="2025-04-03T00:00:00"/>
    <x v="4"/>
    <s v="West"/>
    <s v="Peshawar"/>
    <s v="Corporate"/>
    <s v="Corporate"/>
    <s v="Furniture"/>
    <x v="4"/>
    <s v="Ergonomic Chair"/>
    <n v="12"/>
    <n v="139.46"/>
    <n v="0.05"/>
    <x v="20"/>
    <n v="970.64"/>
    <n v="619.20000000000005"/>
    <s v="Hira"/>
  </r>
  <r>
    <s v="ORD-1022"/>
    <x v="9"/>
    <s v="2026"/>
    <s v="Tuesday"/>
    <d v="2026-10-27T00:00:00"/>
    <x v="2"/>
    <s v="South"/>
    <s v="Karachi"/>
    <s v="Wholesale"/>
    <s v="Wholesale"/>
    <s v="Electronics"/>
    <x v="0"/>
    <s v="wireless mouse"/>
    <n v="4"/>
    <n v="19.66"/>
    <n v="0.05"/>
    <x v="21"/>
    <n v="37.75"/>
    <n v="36.96"/>
    <s v="Ali"/>
  </r>
  <r>
    <s v="ORD-1023"/>
    <x v="0"/>
    <s v="2025"/>
    <s v="Thursday"/>
    <d v="2025-06-19T00:00:00"/>
    <x v="4"/>
    <s v="West"/>
    <s v="Peshawar"/>
    <s v="Wholesale"/>
    <s v="Wholesale"/>
    <s v="Accessories"/>
    <x v="1"/>
    <s v="Water Bottle"/>
    <n v="9"/>
    <n v="9.0500000000000007"/>
    <n v="0.15"/>
    <x v="22"/>
    <n v="35.020000000000003"/>
    <n v="34.21"/>
    <s v="Ayesha"/>
  </r>
  <r>
    <s v="ORD-1024"/>
    <x v="2"/>
    <s v="2026"/>
    <s v="Tuesday"/>
    <d v="2026-08-04T00:00:00"/>
    <x v="1"/>
    <s v="North"/>
    <s v="Lahore"/>
    <s v="Retail"/>
    <s v="Retail"/>
    <s v="Office Supplies"/>
    <x v="9"/>
    <s v="Printer Paper"/>
    <n v="8"/>
    <n v="11.54"/>
    <n v="0"/>
    <x v="23"/>
    <n v="35.08"/>
    <n v="57.24"/>
    <s v="Usman"/>
  </r>
  <r>
    <s v="ORD-1025"/>
    <x v="8"/>
    <s v="2025"/>
    <s v="Sunday"/>
    <d v="2025-02-23T00:00:00"/>
    <x v="0"/>
    <s v="central"/>
    <s v="Faisalabad"/>
    <s v="Retail"/>
    <s v="Retail"/>
    <s v="Accessories"/>
    <x v="2"/>
    <s v="Keyboard Cover"/>
    <n v="9"/>
    <n v="13.44"/>
    <n v="0.15"/>
    <x v="24"/>
    <n v="49.59"/>
    <n v="53.23"/>
    <s v="Ali"/>
  </r>
  <r>
    <s v="ORD-1026"/>
    <x v="1"/>
    <s v="2026"/>
    <s v="Monday"/>
    <d v="2026-11-02T00:00:00"/>
    <x v="2"/>
    <s v="South"/>
    <s v="Karachi"/>
    <s v="Corporate"/>
    <s v="Corporate"/>
    <s v="Electronics"/>
    <x v="8"/>
    <s v="USB-C Hub"/>
    <n v="3"/>
    <n v="25.26"/>
    <n v="0.1"/>
    <x v="25"/>
    <n v="41.68"/>
    <n v="26.52"/>
    <s v="Usman"/>
  </r>
  <r>
    <s v="ORD-1027"/>
    <x v="3"/>
    <s v="2025"/>
    <s v="Thursday"/>
    <d v="2025-03-27T00:00:00"/>
    <x v="2"/>
    <s v="South"/>
    <s v="Karachi"/>
    <s v="Online"/>
    <s v="Online"/>
    <s v="Electronics"/>
    <x v="8"/>
    <s v="USB-C Hub"/>
    <n v="6"/>
    <n v="26.06"/>
    <n v="0.05"/>
    <x v="26"/>
    <n v="86"/>
    <n v="62.54"/>
    <s v="Ali"/>
  </r>
  <r>
    <s v="ORD-1028"/>
    <x v="9"/>
    <s v="2026"/>
    <s v="Friday"/>
    <d v="2026-10-16T00:00:00"/>
    <x v="0"/>
    <s v="central"/>
    <s v="Faisalabad"/>
    <s v="Wholesale"/>
    <s v="Wholesale"/>
    <s v="Office Supplies"/>
    <x v="9"/>
    <s v="Printer Paper"/>
    <n v="1"/>
    <n v="12.49"/>
    <n v="0"/>
    <x v="27"/>
    <n v="4.75"/>
    <n v="7.74"/>
    <s v="Zainab"/>
  </r>
  <r>
    <s v="ORD-1029"/>
    <x v="0"/>
    <s v="2025"/>
    <s v="Thursday"/>
    <d v="2025-06-05T00:00:00"/>
    <x v="3"/>
    <s v="East"/>
    <s v="Islamabad"/>
    <s v="Corporate"/>
    <s v="Corporate"/>
    <s v="Accessories"/>
    <x v="7"/>
    <s v="Laptop Sleeve"/>
    <n v="1"/>
    <n v="20.47"/>
    <n v="0.05"/>
    <x v="28"/>
    <n v="10.029999999999999"/>
    <n v="9.42"/>
    <s v="Zainab"/>
  </r>
  <r>
    <s v="ORD-1030"/>
    <x v="8"/>
    <s v="2026"/>
    <s v="Saturday"/>
    <d v="2026-02-14T00:00:00"/>
    <x v="1"/>
    <s v="North"/>
    <s v="Lahore"/>
    <s v="Retail"/>
    <s v="Retail"/>
    <s v="Furniture"/>
    <x v="4"/>
    <s v="Ergonomic Chair"/>
    <n v="6"/>
    <n v="140.75"/>
    <n v="0.1"/>
    <x v="29"/>
    <n v="489.81"/>
    <n v="270.24"/>
    <s v="Ali"/>
  </r>
  <r>
    <s v="ORD-1031"/>
    <x v="5"/>
    <s v="2025"/>
    <s v="Sunday"/>
    <d v="2025-05-18T00:00:00"/>
    <x v="4"/>
    <s v="West"/>
    <s v="Peshawar"/>
    <s v="Wholesale"/>
    <s v="Wholesale"/>
    <s v="Accessories"/>
    <x v="2"/>
    <s v="Keyboard Cover"/>
    <n v="10"/>
    <n v="10.38"/>
    <n v="0.05"/>
    <x v="30"/>
    <n v="42.56"/>
    <n v="56.05"/>
    <s v="Usman"/>
  </r>
  <r>
    <s v="ORD-1032"/>
    <x v="10"/>
    <s v="2026"/>
    <s v="Thursday"/>
    <d v="2026-04-02T00:00:00"/>
    <x v="3"/>
    <s v="East"/>
    <s v="Islamabad"/>
    <s v="Retail"/>
    <s v="Retail"/>
    <s v="Furniture"/>
    <x v="3"/>
    <s v="Bookshelf"/>
    <n v="6"/>
    <n v="94.85"/>
    <n v="0.05"/>
    <x v="31"/>
    <n v="295.93"/>
    <n v="244.71"/>
    <s v="Zainab"/>
  </r>
  <r>
    <s v="ORD-1033"/>
    <x v="7"/>
    <s v="2025"/>
    <s v="Tuesday"/>
    <d v="2025-07-22T00:00:00"/>
    <x v="1"/>
    <s v="North"/>
    <s v="Lahore"/>
    <s v="Retail"/>
    <s v="Retail"/>
    <s v="Furniture"/>
    <x v="4"/>
    <s v="Ergonomic Chair"/>
    <n v="12"/>
    <n v="141.15"/>
    <n v="0.15"/>
    <x v="32"/>
    <n v="982.4"/>
    <n v="457.33"/>
    <s v="Ayesha"/>
  </r>
  <r>
    <s v="ORD-1034"/>
    <x v="5"/>
    <s v="2026"/>
    <s v="Sunday"/>
    <d v="2026-05-10T00:00:00"/>
    <x v="1"/>
    <s v="North"/>
    <s v="Lahore"/>
    <s v="Wholesale"/>
    <s v="Wholesale"/>
    <s v="Accessories"/>
    <x v="1"/>
    <s v="Water Bottle"/>
    <n v="6"/>
    <n v="8.33"/>
    <n v="0.05"/>
    <x v="33"/>
    <n v="21.49"/>
    <n v="25.99"/>
    <s v="Zainab"/>
  </r>
  <r>
    <s v="ORD-1035"/>
    <x v="3"/>
    <s v="2025"/>
    <s v="Wednesday"/>
    <d v="2025-03-12T00:00:00"/>
    <x v="4"/>
    <s v="West"/>
    <s v="Peshawar"/>
    <s v="Online"/>
    <s v="Online"/>
    <s v="Accessories"/>
    <x v="7"/>
    <s v="Laptop Sleeve"/>
    <n v="7"/>
    <n v="21.52"/>
    <n v="0.15"/>
    <x v="34"/>
    <n v="73.81"/>
    <n v="54.23"/>
    <s v="Hamza"/>
  </r>
  <r>
    <s v="ORD-1036"/>
    <x v="10"/>
    <s v="2026"/>
    <s v="Sunday"/>
    <d v="2026-04-26T00:00:00"/>
    <x v="3"/>
    <s v="East"/>
    <s v="Islamabad"/>
    <s v="Online"/>
    <s v="Online"/>
    <s v="Office Supplies"/>
    <x v="6"/>
    <s v="Notebook Set"/>
    <n v="9"/>
    <n v="7.8"/>
    <n v="0.15"/>
    <x v="35"/>
    <n v="28.08"/>
    <n v="31.59"/>
    <s v="Hira"/>
  </r>
  <r>
    <s v="ORD-1037"/>
    <x v="7"/>
    <s v="2025"/>
    <s v="Tuesday"/>
    <d v="2025-07-15T00:00:00"/>
    <x v="1"/>
    <s v="North"/>
    <s v="Lahore"/>
    <s v="Wholesale"/>
    <s v="Wholesale"/>
    <s v="Office Supplies"/>
    <x v="6"/>
    <s v="Notebook Set"/>
    <n v="1"/>
    <n v="9.0500000000000007"/>
    <n v="0.15"/>
    <x v="36"/>
    <n v="3.62"/>
    <n v="4.07"/>
    <s v="Zainab"/>
  </r>
  <r>
    <s v="ORD-1038"/>
    <x v="0"/>
    <s v="2026"/>
    <s v="Friday"/>
    <d v="2026-06-12T00:00:00"/>
    <x v="1"/>
    <s v="North"/>
    <s v="Lahore"/>
    <s v="Corporate"/>
    <s v="Corporate"/>
    <s v="Electronics"/>
    <x v="10"/>
    <s v="Laptop Stand"/>
    <n v="5"/>
    <n v="22.47"/>
    <n v="0.05"/>
    <x v="37"/>
    <n v="56.18"/>
    <n v="50.55"/>
    <s v="Ayesha"/>
  </r>
  <r>
    <s v="ORD-1039"/>
    <x v="9"/>
    <s v="2025"/>
    <s v="Sunday"/>
    <d v="2025-10-19T00:00:00"/>
    <x v="2"/>
    <s v="South"/>
    <s v="Karachi"/>
    <s v="Wholesale"/>
    <s v="Wholesale"/>
    <s v="Office Supplies"/>
    <x v="9"/>
    <s v="Printer Paper"/>
    <n v="7"/>
    <n v="12.29"/>
    <n v="0.05"/>
    <x v="38"/>
    <n v="32.69"/>
    <n v="49.04"/>
    <s v="Ali"/>
  </r>
  <r>
    <s v="ORD-1040"/>
    <x v="3"/>
    <s v="2026"/>
    <s v="Saturday"/>
    <d v="2026-03-28T00:00:00"/>
    <x v="1"/>
    <s v="North"/>
    <s v="Lahore"/>
    <s v="Corporate"/>
    <s v="Corporate"/>
    <s v="Furniture"/>
    <x v="4"/>
    <s v="Ergonomic Chair"/>
    <n v="4"/>
    <n v="139.58000000000001"/>
    <n v="0.05"/>
    <x v="39"/>
    <n v="323.83"/>
    <n v="206.57"/>
    <s v="Usman"/>
  </r>
  <r>
    <s v="ORD-1041"/>
    <x v="1"/>
    <s v="2025"/>
    <s v="Sunday"/>
    <d v="2025-11-23T00:00:00"/>
    <x v="0"/>
    <s v="central"/>
    <s v="Faisalabad"/>
    <s v="Corporate"/>
    <s v="Corporate"/>
    <s v="Accessories"/>
    <x v="1"/>
    <s v="Water Bottle"/>
    <n v="1"/>
    <n v="9.49"/>
    <n v="0.05"/>
    <x v="40"/>
    <n v="4.08"/>
    <n v="4.9400000000000004"/>
    <s v="Hamza"/>
  </r>
  <r>
    <s v="ORD-1042"/>
    <x v="1"/>
    <s v="2026"/>
    <s v="Tuesday"/>
    <d v="2026-11-03T00:00:00"/>
    <x v="1"/>
    <s v="North"/>
    <s v="Lahore"/>
    <s v="Online"/>
    <s v="Online"/>
    <s v="Furniture"/>
    <x v="5"/>
    <s v="Standing Desk"/>
    <n v="4"/>
    <n v="259.99"/>
    <n v="0"/>
    <x v="41"/>
    <n v="623.98"/>
    <n v="415.98"/>
    <s v="Ali"/>
  </r>
  <r>
    <s v="ORD-1043"/>
    <x v="8"/>
    <s v="2025"/>
    <s v="Friday"/>
    <d v="2025-02-21T00:00:00"/>
    <x v="1"/>
    <s v="North"/>
    <s v="Lahore"/>
    <s v="Retail"/>
    <s v="Retail"/>
    <s v="Electronics"/>
    <x v="8"/>
    <s v="USB-C Hub"/>
    <n v="10"/>
    <n v="24.09"/>
    <n v="0.1"/>
    <x v="42"/>
    <n v="132.5"/>
    <n v="84.31"/>
    <s v="Hamza"/>
  </r>
  <r>
    <s v="ORD-1044"/>
    <x v="10"/>
    <s v="2026"/>
    <s v="Tuesday"/>
    <d v="2026-04-28T00:00:00"/>
    <x v="3"/>
    <s v="East"/>
    <s v="Islamabad"/>
    <s v="Corporate"/>
    <s v="Corporate"/>
    <s v="Furniture"/>
    <x v="5"/>
    <s v="Standing Desk"/>
    <n v="5"/>
    <n v="259.64999999999998"/>
    <n v="0.05"/>
    <x v="43"/>
    <n v="778.95"/>
    <n v="454.39"/>
    <s v="Hamza"/>
  </r>
  <r>
    <s v="ORD-1045"/>
    <x v="6"/>
    <s v="2025"/>
    <s v="Friday"/>
    <d v="2025-09-19T00:00:00"/>
    <x v="4"/>
    <s v="West"/>
    <s v="Peshawar"/>
    <s v="Online"/>
    <s v="Online"/>
    <s v="Furniture"/>
    <x v="5"/>
    <s v="Standing Desk"/>
    <n v="8"/>
    <n v="260.58999999999997"/>
    <n v="0"/>
    <x v="44"/>
    <n v="1250.83"/>
    <n v="833.89"/>
    <s v="Hamza"/>
  </r>
  <r>
    <s v="ORD-1046"/>
    <x v="6"/>
    <s v="2026"/>
    <s v="Tuesday"/>
    <d v="2026-09-15T00:00:00"/>
    <x v="1"/>
    <s v="North"/>
    <s v="Lahore"/>
    <s v="Corporate"/>
    <s v="Corporate"/>
    <s v="Furniture"/>
    <x v="4"/>
    <s v="Ergonomic Chair"/>
    <n v="9"/>
    <n v="140.22999999999999"/>
    <n v="0.05"/>
    <x v="45"/>
    <n v="732"/>
    <n v="466.97"/>
    <s v="Zainab"/>
  </r>
  <r>
    <s v="ORD-1047"/>
    <x v="11"/>
    <s v="2025"/>
    <s v="Sunday"/>
    <d v="2025-01-26T00:00:00"/>
    <x v="1"/>
    <s v="North"/>
    <s v="Lahore"/>
    <s v="Wholesale"/>
    <s v="Wholesale"/>
    <s v="Office Supplies"/>
    <x v="6"/>
    <s v="Notebook Set"/>
    <n v="5"/>
    <n v="7.2"/>
    <n v="0"/>
    <x v="46"/>
    <n v="14.4"/>
    <n v="21.6"/>
    <s v="Hira"/>
  </r>
  <r>
    <s v="ORD-1048"/>
    <x v="11"/>
    <s v="2026"/>
    <s v="Wednesday"/>
    <d v="2026-01-14T00:00:00"/>
    <x v="4"/>
    <s v="West"/>
    <s v="Peshawar"/>
    <s v="Corporate"/>
    <s v="Corporate"/>
    <s v="Accessories"/>
    <x v="2"/>
    <s v="Keyboard Cover"/>
    <n v="4"/>
    <n v="12.44"/>
    <n v="0.15"/>
    <x v="47"/>
    <n v="20.399999999999999"/>
    <n v="21.9"/>
    <s v="Usman"/>
  </r>
  <r>
    <s v="ORD-1049"/>
    <x v="5"/>
    <s v="2025"/>
    <s v="Monday"/>
    <d v="2025-05-05T00:00:00"/>
    <x v="2"/>
    <s v="South"/>
    <s v="Karachi"/>
    <s v="Online"/>
    <s v="Online"/>
    <s v="Accessories"/>
    <x v="2"/>
    <s v="Keyboard Cover"/>
    <n v="6"/>
    <n v="10.53"/>
    <n v="0.05"/>
    <x v="48"/>
    <n v="25.9"/>
    <n v="34.119999999999997"/>
    <s v="Hamza"/>
  </r>
  <r>
    <s v="ORD-1050"/>
    <x v="9"/>
    <s v="2026"/>
    <s v="Thursday"/>
    <d v="2026-10-15T00:00:00"/>
    <x v="3"/>
    <s v="East"/>
    <s v="Islamabad"/>
    <s v="Corporate"/>
    <s v="Corporate"/>
    <s v="Accessories"/>
    <x v="7"/>
    <s v="Laptop Sleeve"/>
    <n v="11"/>
    <n v="18.27"/>
    <n v="0.15"/>
    <x v="49"/>
    <n v="98.48"/>
    <n v="72.34"/>
    <s v="Hamza"/>
  </r>
  <r>
    <s v="ORD-1051"/>
    <x v="6"/>
    <s v="2025"/>
    <s v="Friday"/>
    <d v="2025-09-12T00:00:00"/>
    <x v="3"/>
    <s v="East"/>
    <s v="Islamabad"/>
    <s v="Retail"/>
    <s v="Retail"/>
    <s v="Furniture"/>
    <x v="3"/>
    <s v="Bookshelf"/>
    <n v="7"/>
    <n v="96.43"/>
    <n v="0.1"/>
    <x v="50"/>
    <n v="351.01"/>
    <n v="256.5"/>
    <s v="Ayesha"/>
  </r>
  <r>
    <s v="ORD-1052"/>
    <x v="3"/>
    <s v="2026"/>
    <s v="Sunday"/>
    <d v="2026-03-15T00:00:00"/>
    <x v="4"/>
    <s v="West"/>
    <s v="Peshawar"/>
    <s v="Wholesale"/>
    <s v="Wholesale"/>
    <s v="Furniture"/>
    <x v="4"/>
    <s v="Ergonomic Chair"/>
    <n v="3"/>
    <n v="140.9"/>
    <n v="0.15"/>
    <x v="51"/>
    <n v="245.17"/>
    <n v="114.13"/>
    <s v="Zainab"/>
  </r>
  <r>
    <s v="ORD-1053"/>
    <x v="8"/>
    <s v="2025"/>
    <s v="Saturday"/>
    <d v="2025-02-15T00:00:00"/>
    <x v="3"/>
    <s v="East"/>
    <s v="Islamabad"/>
    <s v="Retail"/>
    <s v="Retail"/>
    <s v="Office Supplies"/>
    <x v="11"/>
    <s v="Desk Organizer"/>
    <n v="8"/>
    <n v="15.18"/>
    <n v="0.05"/>
    <x v="52"/>
    <n v="55.86"/>
    <n v="59.51"/>
    <s v="Ayesha"/>
  </r>
  <r>
    <s v="ORD-1054"/>
    <x v="3"/>
    <s v="2026"/>
    <s v="Thursday"/>
    <d v="2026-03-26T00:00:00"/>
    <x v="3"/>
    <s v="East"/>
    <s v="Islamabad"/>
    <s v="Retail"/>
    <s v="Retail"/>
    <s v="Accessories"/>
    <x v="1"/>
    <s v="Water Bottle"/>
    <n v="9"/>
    <n v="9.9"/>
    <n v="0.1"/>
    <x v="53"/>
    <n v="38.31"/>
    <n v="41.88"/>
    <s v="Hamza"/>
  </r>
  <r>
    <s v="ORD-1055"/>
    <x v="9"/>
    <s v="2025"/>
    <s v="Tuesday"/>
    <d v="2025-10-07T00:00:00"/>
    <x v="0"/>
    <s v="central"/>
    <s v="Faisalabad"/>
    <s v="Retail"/>
    <s v="Retail"/>
    <s v="Office Supplies"/>
    <x v="9"/>
    <s v="Printer Paper"/>
    <n v="1"/>
    <n v="13.21"/>
    <n v="0.1"/>
    <x v="54"/>
    <n v="5.0199999999999996"/>
    <n v="6.87"/>
    <s v="Ali"/>
  </r>
  <r>
    <s v="ORD-1056"/>
    <x v="10"/>
    <s v="2026"/>
    <s v="Monday"/>
    <d v="2026-04-27T00:00:00"/>
    <x v="2"/>
    <s v="South"/>
    <s v="Karachi"/>
    <s v="Corporate"/>
    <s v="Corporate"/>
    <s v="Electronics"/>
    <x v="10"/>
    <s v="Laptop Stand"/>
    <n v="1"/>
    <n v="21.78"/>
    <n v="0"/>
    <x v="55"/>
    <n v="10.89"/>
    <n v="10.89"/>
    <s v="Usman"/>
  </r>
  <r>
    <s v="ORD-1057"/>
    <x v="9"/>
    <s v="2025"/>
    <s v="Saturday"/>
    <d v="2025-10-25T00:00:00"/>
    <x v="2"/>
    <s v="South"/>
    <s v="Karachi"/>
    <s v="Online"/>
    <s v="Online"/>
    <s v="Accessories"/>
    <x v="7"/>
    <s v="Laptop Sleeve"/>
    <n v="6"/>
    <n v="18.12"/>
    <n v="0"/>
    <x v="56"/>
    <n v="53.27"/>
    <n v="55.45"/>
    <s v="Ayesha"/>
  </r>
  <r>
    <s v="ORD-1058"/>
    <x v="5"/>
    <s v="2026"/>
    <s v="Tuesday"/>
    <d v="2026-05-19T00:00:00"/>
    <x v="3"/>
    <s v="East"/>
    <s v="Islamabad"/>
    <s v="Retail"/>
    <s v="Retail"/>
    <s v="Accessories"/>
    <x v="2"/>
    <s v="Keyboard Cover"/>
    <n v="12"/>
    <n v="12.86"/>
    <n v="0.05"/>
    <x v="57"/>
    <n v="63.27"/>
    <n v="83.33"/>
    <s v="Hamza"/>
  </r>
  <r>
    <s v="ORD-1059"/>
    <x v="7"/>
    <s v="2025"/>
    <s v="Saturday"/>
    <d v="2025-07-12T00:00:00"/>
    <x v="2"/>
    <s v="South"/>
    <s v="Karachi"/>
    <s v="Online"/>
    <s v="Online"/>
    <s v="Furniture"/>
    <x v="4"/>
    <s v="Ergonomic Chair"/>
    <n v="5"/>
    <n v="138.68"/>
    <n v="0.1"/>
    <x v="58"/>
    <n v="402.17"/>
    <n v="221.89"/>
    <s v="Ali"/>
  </r>
  <r>
    <s v="ORD-1060"/>
    <x v="9"/>
    <s v="2026"/>
    <s v="Sunday"/>
    <d v="2026-10-11T00:00:00"/>
    <x v="1"/>
    <s v="North"/>
    <s v="Lahore"/>
    <s v="Retail"/>
    <s v="Retail"/>
    <s v="Furniture"/>
    <x v="5"/>
    <s v="Standing Desk"/>
    <n v="1"/>
    <n v="260.76"/>
    <n v="0.1"/>
    <x v="59"/>
    <n v="156.46"/>
    <n v="78.22"/>
    <s v="Ali"/>
  </r>
  <r>
    <s v="ORD-1061"/>
    <x v="7"/>
    <s v="2025"/>
    <s v="Sunday"/>
    <d v="2025-07-20T00:00:00"/>
    <x v="1"/>
    <s v="North"/>
    <s v="Lahore"/>
    <s v="Online"/>
    <s v="Online"/>
    <s v="Furniture"/>
    <x v="3"/>
    <s v="Bookshelf"/>
    <n v="3"/>
    <n v="95.6"/>
    <n v="0"/>
    <x v="60"/>
    <n v="149.13999999999999"/>
    <n v="137.66"/>
    <s v="Usman"/>
  </r>
  <r>
    <s v="ORD-1062"/>
    <x v="10"/>
    <s v="2026"/>
    <s v="Monday"/>
    <d v="2026-04-13T00:00:00"/>
    <x v="3"/>
    <s v="East"/>
    <s v="Islamabad"/>
    <s v="Corporate"/>
    <s v="Corporate"/>
    <s v="Electronics"/>
    <x v="8"/>
    <s v="USB-C Hub"/>
    <n v="9"/>
    <n v="23.74"/>
    <n v="0.1"/>
    <x v="61"/>
    <n v="117.51"/>
    <n v="74.78"/>
    <s v="Zainab"/>
  </r>
  <r>
    <s v="ORD-1063"/>
    <x v="6"/>
    <s v="2025"/>
    <s v="Friday"/>
    <d v="2025-09-26T00:00:00"/>
    <x v="4"/>
    <s v="West"/>
    <s v="Peshawar"/>
    <s v="Corporate"/>
    <s v="Corporate"/>
    <s v="Accessories"/>
    <x v="1"/>
    <s v="Water Bottle"/>
    <n v="5"/>
    <n v="11.23"/>
    <n v="0.05"/>
    <x v="62"/>
    <n v="24.14"/>
    <n v="29.2"/>
    <s v="Zainab"/>
  </r>
  <r>
    <s v="ORD-1064"/>
    <x v="9"/>
    <s v="2026"/>
    <s v="Sunday"/>
    <d v="2026-10-11T00:00:00"/>
    <x v="4"/>
    <s v="West"/>
    <s v="Peshawar"/>
    <s v="Wholesale"/>
    <s v="Wholesale"/>
    <s v="Electronics"/>
    <x v="8"/>
    <s v="USB-C Hub"/>
    <n v="6"/>
    <n v="24.58"/>
    <n v="0.05"/>
    <x v="63"/>
    <n v="81.11"/>
    <n v="59"/>
    <s v="Hamza"/>
  </r>
  <r>
    <s v="ORD-1065"/>
    <x v="2"/>
    <s v="2025"/>
    <s v="Monday"/>
    <d v="2025-08-18T00:00:00"/>
    <x v="3"/>
    <s v="East"/>
    <s v="Islamabad"/>
    <s v="Wholesale"/>
    <s v="Wholesale"/>
    <s v="Accessories"/>
    <x v="2"/>
    <s v="Keyboard Cover"/>
    <n v="8"/>
    <n v="10.71"/>
    <n v="0.05"/>
    <x v="64"/>
    <n v="35.130000000000003"/>
    <n v="46.27"/>
    <s v="Zainab"/>
  </r>
  <r>
    <s v="ORD-1066"/>
    <x v="6"/>
    <s v="2026"/>
    <s v="Saturday"/>
    <d v="2026-09-26T00:00:00"/>
    <x v="2"/>
    <s v="South"/>
    <s v="Karachi"/>
    <s v="Retail"/>
    <s v="Retail"/>
    <s v="Office Supplies"/>
    <x v="9"/>
    <s v="Printer Paper"/>
    <n v="1"/>
    <n v="11.4"/>
    <n v="0"/>
    <x v="65"/>
    <n v="4.33"/>
    <n v="7.07"/>
    <s v="Usman"/>
  </r>
  <r>
    <s v="ORD-1067"/>
    <x v="7"/>
    <s v="2025"/>
    <s v="Saturday"/>
    <d v="2025-07-26T00:00:00"/>
    <x v="2"/>
    <s v="South"/>
    <s v="Karachi"/>
    <s v="Online"/>
    <s v="Online"/>
    <s v="Office Supplies"/>
    <x v="9"/>
    <s v="Printer Paper"/>
    <n v="8"/>
    <n v="12.11"/>
    <n v="0.15"/>
    <x v="66"/>
    <n v="36.81"/>
    <n v="45.54"/>
    <s v="Hira"/>
  </r>
  <r>
    <s v="ORD-1068"/>
    <x v="6"/>
    <s v="2026"/>
    <s v="Friday"/>
    <d v="2026-09-18T00:00:00"/>
    <x v="2"/>
    <s v="South"/>
    <s v="Karachi"/>
    <s v="Corporate"/>
    <s v="Corporate"/>
    <s v="Office Supplies"/>
    <x v="6"/>
    <s v="Notebook Set"/>
    <n v="3"/>
    <n v="9.18"/>
    <n v="0"/>
    <x v="67"/>
    <n v="11.02"/>
    <n v="16.52"/>
    <s v="Ali"/>
  </r>
  <r>
    <s v="ORD-1069"/>
    <x v="10"/>
    <s v="2025"/>
    <s v="Monday"/>
    <d v="2025-04-07T00:00:00"/>
    <x v="0"/>
    <s v="central"/>
    <s v="Faisalabad"/>
    <s v="Retail"/>
    <s v="Retail"/>
    <s v="Furniture"/>
    <x v="3"/>
    <s v="Bookshelf"/>
    <n v="6"/>
    <n v="94.54"/>
    <n v="0.1"/>
    <x v="68"/>
    <n v="294.95999999999998"/>
    <n v="215.56"/>
    <s v="Ayesha"/>
  </r>
  <r>
    <s v="ORD-1070"/>
    <x v="3"/>
    <s v="2026"/>
    <s v="Saturday"/>
    <d v="2026-03-21T00:00:00"/>
    <x v="4"/>
    <s v="West"/>
    <s v="Peshawar"/>
    <s v="Corporate"/>
    <s v="Corporate"/>
    <s v="Electronics"/>
    <x v="10"/>
    <s v="Laptop Stand"/>
    <n v="8"/>
    <n v="22.56"/>
    <n v="0.1"/>
    <x v="69"/>
    <n v="90.24"/>
    <n v="72.19"/>
    <s v="Ayesha"/>
  </r>
  <r>
    <s v="ORD-1071"/>
    <x v="9"/>
    <s v="2025"/>
    <s v="Sunday"/>
    <d v="2025-10-26T00:00:00"/>
    <x v="3"/>
    <s v="East"/>
    <s v="Islamabad"/>
    <s v="Retail"/>
    <s v="Retail"/>
    <s v="Electronics"/>
    <x v="8"/>
    <s v="USB-C Hub"/>
    <n v="5"/>
    <n v="25.79"/>
    <n v="0.05"/>
    <x v="70"/>
    <n v="70.92"/>
    <n v="51.58"/>
    <s v="Ali"/>
  </r>
  <r>
    <s v="ORD-1072"/>
    <x v="11"/>
    <s v="2026"/>
    <s v="Friday"/>
    <d v="2026-01-02T00:00:00"/>
    <x v="3"/>
    <s v="East"/>
    <s v="Islamabad"/>
    <s v="Online"/>
    <s v="Online"/>
    <s v="Furniture"/>
    <x v="5"/>
    <s v="Standing Desk"/>
    <n v="2"/>
    <n v="259.04000000000002"/>
    <n v="0"/>
    <x v="71"/>
    <n v="310.85000000000002"/>
    <n v="207.23"/>
    <s v="Usman"/>
  </r>
  <r>
    <s v="ORD-1073"/>
    <x v="8"/>
    <s v="2025"/>
    <s v="Sunday"/>
    <d v="2025-02-16T00:00:00"/>
    <x v="2"/>
    <s v="South"/>
    <s v="Karachi"/>
    <s v="Retail"/>
    <s v="Retail"/>
    <s v="Furniture"/>
    <x v="3"/>
    <s v="Bookshelf"/>
    <n v="3"/>
    <n v="95.5"/>
    <n v="0.15"/>
    <x v="72"/>
    <n v="148.97999999999999"/>
    <n v="94.55"/>
    <s v="Ali"/>
  </r>
  <r>
    <s v="ORD-1074"/>
    <x v="5"/>
    <s v="2026"/>
    <s v="Saturday"/>
    <d v="2026-05-16T00:00:00"/>
    <x v="2"/>
    <s v="South"/>
    <s v="Karachi"/>
    <s v="Corporate"/>
    <s v="Corporate"/>
    <s v="Office Supplies"/>
    <x v="6"/>
    <s v="Notebook Set"/>
    <n v="11"/>
    <n v="9.67"/>
    <n v="0.15"/>
    <x v="73"/>
    <n v="42.55"/>
    <n v="47.86"/>
    <s v="Hamza"/>
  </r>
  <r>
    <s v="ORD-1075"/>
    <x v="0"/>
    <s v="2025"/>
    <s v="Friday"/>
    <d v="2025-06-27T00:00:00"/>
    <x v="0"/>
    <s v="central"/>
    <s v="Faisalabad"/>
    <s v="Online"/>
    <s v="Online"/>
    <s v="Accessories"/>
    <x v="2"/>
    <s v="Keyboard Cover"/>
    <n v="9"/>
    <n v="13.9"/>
    <n v="0.15"/>
    <x v="74"/>
    <n v="51.29"/>
    <n v="55.05"/>
    <s v="Hira"/>
  </r>
  <r>
    <s v="ORD-1076"/>
    <x v="8"/>
    <s v="2026"/>
    <s v="Friday"/>
    <d v="2026-02-27T00:00:00"/>
    <x v="4"/>
    <s v="West"/>
    <s v="Peshawar"/>
    <s v="Corporate"/>
    <s v="Corporate"/>
    <s v="Accessories"/>
    <x v="1"/>
    <s v="Water Bottle"/>
    <n v="8"/>
    <n v="9.39"/>
    <n v="0"/>
    <x v="75"/>
    <n v="32.299999999999997"/>
    <n v="42.82"/>
    <s v="Zainab"/>
  </r>
  <r>
    <s v="ORD-1077"/>
    <x v="10"/>
    <s v="2025"/>
    <s v="Sunday"/>
    <d v="2025-04-20T00:00:00"/>
    <x v="1"/>
    <s v="North"/>
    <s v="Lahore"/>
    <s v="Wholesale"/>
    <s v="Wholesale"/>
    <s v="Furniture"/>
    <x v="5"/>
    <s v="Standing Desk"/>
    <n v="9"/>
    <n v="258.5"/>
    <n v="0"/>
    <x v="76"/>
    <n v="1395.9"/>
    <n v="930.6"/>
    <s v="Ali"/>
  </r>
  <r>
    <s v="ORD-1078"/>
    <x v="4"/>
    <s v="2026"/>
    <s v="Friday"/>
    <d v="2026-12-18T00:00:00"/>
    <x v="0"/>
    <s v="central"/>
    <s v="Faisalabad"/>
    <s v="Wholesale"/>
    <s v="Wholesale"/>
    <s v="Accessories"/>
    <x v="1"/>
    <s v="Water Bottle"/>
    <n v="7"/>
    <n v="8.2799999999999994"/>
    <n v="0.05"/>
    <x v="77"/>
    <n v="24.92"/>
    <n v="30.14"/>
    <s v="Ali"/>
  </r>
  <r>
    <s v="ORD-1079"/>
    <x v="5"/>
    <s v="2025"/>
    <s v="Friday"/>
    <d v="2025-05-02T00:00:00"/>
    <x v="2"/>
    <s v="South"/>
    <s v="Karachi"/>
    <s v="Online"/>
    <s v="Online"/>
    <s v="Furniture"/>
    <x v="5"/>
    <s v="Standing Desk"/>
    <n v="12"/>
    <n v="261.44"/>
    <n v="0.1"/>
    <x v="78"/>
    <n v="1882.37"/>
    <n v="941.18"/>
    <s v="Zainab"/>
  </r>
  <r>
    <s v="ORD-1080"/>
    <x v="4"/>
    <s v="2026"/>
    <s v="Thursday"/>
    <d v="2026-12-03T00:00:00"/>
    <x v="4"/>
    <s v="West"/>
    <s v="Peshawar"/>
    <s v="Wholesale"/>
    <s v="Wholesale"/>
    <s v="Electronics"/>
    <x v="8"/>
    <s v="USB-C Hub"/>
    <n v="7"/>
    <n v="26.82"/>
    <n v="0.05"/>
    <x v="79"/>
    <n v="103.26"/>
    <n v="75.09"/>
    <s v="Usman"/>
  </r>
  <r>
    <s v="ORD-1081"/>
    <x v="8"/>
    <s v="2025"/>
    <s v="Friday"/>
    <d v="2025-02-07T00:00:00"/>
    <x v="4"/>
    <s v="West"/>
    <s v="Peshawar"/>
    <s v="Online"/>
    <s v="Online"/>
    <s v="Furniture"/>
    <x v="4"/>
    <s v="Ergonomic Chair"/>
    <n v="12"/>
    <n v="141.94999999999999"/>
    <n v="0.15"/>
    <x v="80"/>
    <n v="987.97"/>
    <n v="459.92"/>
    <s v="Hamza"/>
  </r>
  <r>
    <s v="ORD-1082"/>
    <x v="8"/>
    <s v="2026"/>
    <s v="Tuesday"/>
    <d v="2026-02-03T00:00:00"/>
    <x v="2"/>
    <s v="South"/>
    <s v="Karachi"/>
    <s v="Corporate"/>
    <s v="Corporate"/>
    <s v="Accessories"/>
    <x v="2"/>
    <s v="Keyboard Cover"/>
    <n v="1"/>
    <n v="10.87"/>
    <n v="0.05"/>
    <x v="81"/>
    <n v="4.46"/>
    <n v="5.87"/>
    <s v="Zainab"/>
  </r>
  <r>
    <s v="ORD-1083"/>
    <x v="11"/>
    <s v="2025"/>
    <s v="Tuesday"/>
    <d v="2025-01-28T00:00:00"/>
    <x v="2"/>
    <s v="South"/>
    <s v="Karachi"/>
    <s v="Wholesale"/>
    <s v="Wholesale"/>
    <s v="Office Supplies"/>
    <x v="6"/>
    <s v="Notebook Set"/>
    <n v="11"/>
    <n v="8.49"/>
    <n v="0.05"/>
    <x v="82"/>
    <n v="37.36"/>
    <n v="51.36"/>
    <s v="Usman"/>
  </r>
  <r>
    <s v="ORD-1084"/>
    <x v="10"/>
    <s v="2026"/>
    <s v="Tuesday"/>
    <d v="2026-04-14T00:00:00"/>
    <x v="4"/>
    <s v="West"/>
    <s v="Peshawar"/>
    <s v="Online"/>
    <s v="Online"/>
    <s v="Accessories"/>
    <x v="2"/>
    <s v="Keyboard Cover"/>
    <n v="8"/>
    <n v="12.79"/>
    <n v="0"/>
    <x v="83"/>
    <n v="41.95"/>
    <n v="60.37"/>
    <s v="Ayesha"/>
  </r>
  <r>
    <s v="ORD-1085"/>
    <x v="0"/>
    <s v="2025"/>
    <s v="Saturday"/>
    <d v="2025-06-28T00:00:00"/>
    <x v="4"/>
    <s v="West"/>
    <s v="Peshawar"/>
    <s v="Corporate"/>
    <s v="Corporate"/>
    <s v="Accessories"/>
    <x v="1"/>
    <s v="Water Bottle"/>
    <n v="9"/>
    <n v="8.7100000000000009"/>
    <n v="0.05"/>
    <x v="84"/>
    <n v="33.71"/>
    <n v="40.76"/>
    <s v="Hamza"/>
  </r>
  <r>
    <s v="ORD-1086"/>
    <x v="10"/>
    <s v="2026"/>
    <s v="Monday"/>
    <d v="2026-04-27T00:00:00"/>
    <x v="4"/>
    <s v="West"/>
    <s v="Peshawar"/>
    <s v="Online"/>
    <s v="Online"/>
    <s v="Office Supplies"/>
    <x v="9"/>
    <s v="Printer Paper"/>
    <n v="4"/>
    <n v="10.71"/>
    <n v="0.05"/>
    <x v="85"/>
    <n v="16.28"/>
    <n v="24.42"/>
    <s v="Ayesha"/>
  </r>
  <r>
    <s v="ORD-1087"/>
    <x v="9"/>
    <s v="2025"/>
    <s v="Wednesday"/>
    <d v="2025-10-08T00:00:00"/>
    <x v="3"/>
    <s v="East"/>
    <s v="Islamabad"/>
    <s v="Wholesale"/>
    <s v="Wholesale"/>
    <s v="Electronics"/>
    <x v="8"/>
    <s v="USB-C Hub"/>
    <n v="10"/>
    <n v="25.45"/>
    <n v="0.05"/>
    <x v="86"/>
    <n v="139.97999999999999"/>
    <n v="101.79"/>
    <s v="Zainab"/>
  </r>
  <r>
    <s v="ORD-1088"/>
    <x v="8"/>
    <s v="2026"/>
    <s v="Friday"/>
    <d v="2026-02-20T00:00:00"/>
    <x v="3"/>
    <s v="East"/>
    <s v="Islamabad"/>
    <s v="Retail"/>
    <s v="Retail"/>
    <s v="Office Supplies"/>
    <x v="6"/>
    <s v="Notebook Set"/>
    <n v="5"/>
    <n v="7.84"/>
    <n v="0.1"/>
    <x v="87"/>
    <n v="15.68"/>
    <n v="19.600000000000001"/>
    <s v="Zainab"/>
  </r>
  <r>
    <s v="ORD-1089"/>
    <x v="8"/>
    <s v="2025"/>
    <s v="Monday"/>
    <d v="2025-02-03T00:00:00"/>
    <x v="3"/>
    <s v="East"/>
    <s v="Islamabad"/>
    <s v="Corporate"/>
    <s v="Corporate"/>
    <s v="Furniture"/>
    <x v="3"/>
    <s v="Bookshelf"/>
    <n v="11"/>
    <n v="93.03"/>
    <n v="0.15"/>
    <x v="88"/>
    <n v="532.13"/>
    <n v="337.7"/>
    <s v="Zainab"/>
  </r>
  <r>
    <s v="ORD-1090"/>
    <x v="0"/>
    <s v="2026"/>
    <s v="Monday"/>
    <s v="06/01/2026"/>
    <x v="3"/>
    <s v="East"/>
    <s v="Islamabad"/>
    <s v="Online"/>
    <s v="Online"/>
    <s v="Accessories"/>
    <x v="2"/>
    <s v="Keyboard Cover"/>
    <n v="6"/>
    <n v="13.52"/>
    <n v="0.05"/>
    <x v="89"/>
    <n v="33.26"/>
    <n v="43.8"/>
    <s v="Hamza"/>
  </r>
  <r>
    <s v="ORD-1091"/>
    <x v="9"/>
    <s v="2025"/>
    <s v="Friday"/>
    <d v="2025-10-17T00:00:00"/>
    <x v="3"/>
    <s v="East"/>
    <s v="Islamabad"/>
    <s v="Wholesale"/>
    <s v="Wholesale"/>
    <s v="Furniture"/>
    <x v="4"/>
    <s v="Ergonomic Chair"/>
    <n v="7"/>
    <n v="139.43"/>
    <n v="0.15"/>
    <x v="90"/>
    <n v="566.09"/>
    <n v="263.52"/>
    <s v="Usman"/>
  </r>
  <r>
    <s v="ORD-1092"/>
    <x v="0"/>
    <s v="2026"/>
    <s v="Tuesday"/>
    <d v="2026-06-02T00:00:00"/>
    <x v="1"/>
    <s v="North"/>
    <s v="Lahore"/>
    <s v="Corporate"/>
    <s v="Corporate"/>
    <s v="Accessories"/>
    <x v="7"/>
    <s v="Laptop Sleeve"/>
    <n v="2"/>
    <n v="20.6"/>
    <n v="0"/>
    <x v="91"/>
    <n v="20.190000000000001"/>
    <n v="21.01"/>
    <s v="Zainab"/>
  </r>
  <r>
    <s v="ORD-1093"/>
    <x v="1"/>
    <s v="2025"/>
    <s v="Friday"/>
    <d v="2025-11-14T00:00:00"/>
    <x v="3"/>
    <s v="East"/>
    <s v="Islamabad"/>
    <s v="Online"/>
    <s v="Online"/>
    <s v="Accessories"/>
    <x v="1"/>
    <s v="Water Bottle"/>
    <n v="6"/>
    <n v="8.76"/>
    <n v="0.15"/>
    <x v="92"/>
    <n v="22.6"/>
    <n v="22.08"/>
    <s v="Ali"/>
  </r>
  <r>
    <s v="ORD-1094"/>
    <x v="10"/>
    <s v="2026"/>
    <s v="Saturday"/>
    <d v="2026-04-18T00:00:00"/>
    <x v="4"/>
    <s v="West"/>
    <s v="Peshawar"/>
    <s v="Retail"/>
    <s v="Retail"/>
    <s v="Office Supplies"/>
    <x v="11"/>
    <s v="Desk Organizer"/>
    <n v="12"/>
    <n v="14.83"/>
    <n v="0.15"/>
    <x v="93"/>
    <n v="81.86"/>
    <n v="69.41"/>
    <s v="Usman"/>
  </r>
  <r>
    <s v="ORD-1095"/>
    <x v="1"/>
    <s v="2025"/>
    <s v="Thursday"/>
    <d v="2025-11-27T00:00:00"/>
    <x v="0"/>
    <s v="central"/>
    <s v="Faisalabad"/>
    <s v="Online"/>
    <s v="Online"/>
    <s v="Accessories"/>
    <x v="2"/>
    <s v="Keyboard Cover"/>
    <n v="12"/>
    <n v="13.43"/>
    <n v="0.05"/>
    <x v="94"/>
    <n v="66.08"/>
    <n v="87.02"/>
    <s v="Ali"/>
  </r>
  <r>
    <s v="ORD-1096"/>
    <x v="4"/>
    <s v="2026"/>
    <s v="Sunday"/>
    <d v="2026-12-06T00:00:00"/>
    <x v="2"/>
    <s v="South"/>
    <s v="Karachi"/>
    <s v="Online"/>
    <s v="Online"/>
    <s v="Furniture"/>
    <x v="4"/>
    <s v="Ergonomic Chair"/>
    <n v="3"/>
    <n v="138.61000000000001"/>
    <n v="0.1"/>
    <x v="95"/>
    <n v="241.18"/>
    <n v="133.07"/>
    <s v="Hira"/>
  </r>
  <r>
    <s v="ORD-1097"/>
    <x v="11"/>
    <s v="2025"/>
    <s v="Saturday"/>
    <d v="2025-01-18T00:00:00"/>
    <x v="4"/>
    <s v="West"/>
    <s v="Peshawar"/>
    <s v="Corporate"/>
    <s v="Corporate"/>
    <s v="Electronics"/>
    <x v="8"/>
    <s v="USB-C Hub"/>
    <n v="8"/>
    <n v="24.69"/>
    <n v="0.1"/>
    <x v="96"/>
    <n v="108.64"/>
    <n v="69.13"/>
    <s v="Usman"/>
  </r>
  <r>
    <s v="ORD-1098"/>
    <x v="4"/>
    <s v="2026"/>
    <s v="Thursday"/>
    <d v="2026-12-24T00:00:00"/>
    <x v="4"/>
    <s v="West"/>
    <s v="Peshawar"/>
    <s v="Retail"/>
    <s v="Retail"/>
    <s v="Office Supplies"/>
    <x v="11"/>
    <s v="Desk Organizer"/>
    <n v="5"/>
    <n v="14.34"/>
    <n v="0.15"/>
    <x v="97"/>
    <n v="32.979999999999997"/>
    <n v="27.97"/>
    <s v="Zainab"/>
  </r>
  <r>
    <s v="ORD-1099"/>
    <x v="7"/>
    <s v="2025"/>
    <s v="Sunday"/>
    <d v="2025-07-13T00:00:00"/>
    <x v="0"/>
    <s v="central"/>
    <s v="Faisalabad"/>
    <s v="Wholesale"/>
    <s v="Wholesale"/>
    <s v="Electronics"/>
    <x v="8"/>
    <s v="USB-C Hub"/>
    <n v="6"/>
    <n v="26.33"/>
    <n v="0"/>
    <x v="98"/>
    <n v="86.89"/>
    <n v="71.09"/>
    <s v="Hamza"/>
  </r>
  <r>
    <s v="ORD-1100"/>
    <x v="1"/>
    <s v="2026"/>
    <s v="Friday"/>
    <d v="2026-11-27T00:00:00"/>
    <x v="1"/>
    <s v="North"/>
    <s v="Lahore"/>
    <s v="Corporate"/>
    <s v="Corporate"/>
    <s v="Electronics"/>
    <x v="0"/>
    <s v="wireless mouse"/>
    <n v="8"/>
    <n v="19.46"/>
    <n v="0.15"/>
    <x v="99"/>
    <n v="74.73"/>
    <n v="57.6"/>
    <s v="Usman"/>
  </r>
  <r>
    <s v="ORD-1101"/>
    <x v="11"/>
    <s v="2025"/>
    <s v="Wednesday"/>
    <d v="2025-01-01T00:00:00"/>
    <x v="3"/>
    <s v="East"/>
    <s v="Islamabad"/>
    <s v="Online"/>
    <s v="Online"/>
    <s v="Accessories"/>
    <x v="1"/>
    <s v="Water Bottle"/>
    <n v="3"/>
    <n v="10.46"/>
    <n v="0.05"/>
    <x v="100"/>
    <n v="13.49"/>
    <n v="16.32"/>
    <s v="Hamza"/>
  </r>
  <r>
    <s v="ORD-1102"/>
    <x v="3"/>
    <s v="2026"/>
    <s v="Wednesday"/>
    <d v="2026-03-04T00:00:00"/>
    <x v="3"/>
    <s v="East"/>
    <s v="Islamabad"/>
    <s v="Corporate"/>
    <s v="Corporate"/>
    <s v="Office Supplies"/>
    <x v="11"/>
    <s v="Desk Organizer"/>
    <n v="12"/>
    <n v="13.78"/>
    <n v="0"/>
    <x v="101"/>
    <n v="76.069999999999993"/>
    <n v="89.29"/>
    <s v="Ayesha"/>
  </r>
  <r>
    <s v="ORD-1103"/>
    <x v="4"/>
    <s v="2025"/>
    <s v="Saturday"/>
    <d v="2025-12-20T00:00:00"/>
    <x v="1"/>
    <s v="North"/>
    <s v="Lahore"/>
    <s v="Corporate"/>
    <s v="Corporate"/>
    <s v="Electronics"/>
    <x v="8"/>
    <s v="USB-C Hub"/>
    <n v="2"/>
    <n v="25.19"/>
    <n v="0.1"/>
    <x v="102"/>
    <n v="27.71"/>
    <n v="17.63"/>
    <s v="Zainab"/>
  </r>
  <r>
    <s v="ORD-1104"/>
    <x v="1"/>
    <s v="2026"/>
    <s v="Monday"/>
    <d v="2026-11-02T00:00:00"/>
    <x v="3"/>
    <s v="East"/>
    <s v="Islamabad"/>
    <s v="Retail"/>
    <s v="Retail"/>
    <s v="Electronics"/>
    <x v="8"/>
    <s v="USB-C Hub"/>
    <n v="8"/>
    <n v="25.97"/>
    <n v="0.05"/>
    <x v="103"/>
    <n v="114.27"/>
    <n v="83.1"/>
    <s v="Ayesha"/>
  </r>
  <r>
    <s v="ORD-1105"/>
    <x v="11"/>
    <s v="2025"/>
    <s v="Monday"/>
    <d v="2025-01-06T00:00:00"/>
    <x v="4"/>
    <s v="West"/>
    <s v="Peshawar"/>
    <s v="Corporate"/>
    <s v="Corporate"/>
    <s v="Furniture"/>
    <x v="3"/>
    <s v="Bookshelf"/>
    <n v="4"/>
    <n v="95.55"/>
    <n v="0.15"/>
    <x v="104"/>
    <n v="198.74"/>
    <n v="126.13"/>
    <s v="Ali"/>
  </r>
  <r>
    <s v="ORD-1106"/>
    <x v="4"/>
    <s v="2026"/>
    <s v="Sunday"/>
    <d v="2026-12-06T00:00:00"/>
    <x v="3"/>
    <s v="East"/>
    <s v="Islamabad"/>
    <s v="Corporate"/>
    <s v="Corporate"/>
    <s v="Electronics"/>
    <x v="10"/>
    <s v="Laptop Stand"/>
    <n v="10"/>
    <n v="22.51"/>
    <n v="0.05"/>
    <x v="105"/>
    <n v="112.55"/>
    <n v="101.3"/>
    <s v="Hira"/>
  </r>
  <r>
    <s v="ORD-1107"/>
    <x v="6"/>
    <s v="2025"/>
    <s v="Friday"/>
    <d v="2025-09-05T00:00:00"/>
    <x v="3"/>
    <s v="East"/>
    <s v="Islamabad"/>
    <s v="Wholesale"/>
    <s v="Wholesale"/>
    <s v="Office Supplies"/>
    <x v="11"/>
    <s v="Desk Organizer"/>
    <n v="8"/>
    <n v="15.25"/>
    <n v="0.15"/>
    <x v="106"/>
    <n v="56.12"/>
    <n v="47.58"/>
    <s v="Ali"/>
  </r>
  <r>
    <s v="ORD-1108"/>
    <x v="11"/>
    <s v="2026"/>
    <s v="Monday"/>
    <d v="2026-01-19T00:00:00"/>
    <x v="0"/>
    <s v="central"/>
    <s v="Faisalabad"/>
    <s v="Corporate"/>
    <s v="Corporate"/>
    <s v="Accessories"/>
    <x v="7"/>
    <s v="Laptop Sleeve"/>
    <n v="7"/>
    <n v="18.79"/>
    <n v="0"/>
    <x v="107"/>
    <n v="64.45"/>
    <n v="67.08"/>
    <s v="Ayesha"/>
  </r>
  <r>
    <s v="ORD-1109"/>
    <x v="9"/>
    <s v="2025"/>
    <s v="Saturday"/>
    <d v="2025-10-18T00:00:00"/>
    <x v="1"/>
    <s v="North"/>
    <s v="Lahore"/>
    <s v="Online"/>
    <s v="Online"/>
    <s v="Accessories"/>
    <x v="2"/>
    <s v="Keyboard Cover"/>
    <n v="5"/>
    <n v="12.56"/>
    <n v="0.15"/>
    <x v="108"/>
    <n v="25.75"/>
    <n v="27.63"/>
    <s v="Ayesha"/>
  </r>
  <r>
    <s v="ORD-1110"/>
    <x v="2"/>
    <s v="2026"/>
    <s v="Sunday"/>
    <d v="2026-08-09T00:00:00"/>
    <x v="4"/>
    <s v="West"/>
    <s v="Peshawar"/>
    <s v="Online"/>
    <s v="Online"/>
    <s v="Furniture"/>
    <x v="4"/>
    <s v="Ergonomic Chair"/>
    <n v="5"/>
    <n v="141.72999999999999"/>
    <n v="0.05"/>
    <x v="109"/>
    <n v="411.02"/>
    <n v="262.2"/>
    <s v="Hamza"/>
  </r>
  <r>
    <s v="ORD-1111"/>
    <x v="8"/>
    <s v="2025"/>
    <s v="Wednesday"/>
    <d v="2025-02-26T00:00:00"/>
    <x v="2"/>
    <s v="South"/>
    <s v="Karachi"/>
    <s v="Wholesale"/>
    <s v="Wholesale"/>
    <s v="Accessories"/>
    <x v="7"/>
    <s v="Laptop Sleeve"/>
    <n v="10"/>
    <n v="18.12"/>
    <n v="0.15"/>
    <x v="110"/>
    <n v="88.79"/>
    <n v="65.23"/>
    <s v="Ali"/>
  </r>
  <r>
    <s v="ORD-1112"/>
    <x v="2"/>
    <s v="2026"/>
    <s v="Friday"/>
    <d v="2026-08-28T00:00:00"/>
    <x v="0"/>
    <s v="central"/>
    <s v="Faisalabad"/>
    <s v="Online"/>
    <s v="Online"/>
    <s v="Office Supplies"/>
    <x v="6"/>
    <s v="Notebook Set"/>
    <n v="1"/>
    <n v="6.83"/>
    <n v="0.1"/>
    <x v="111"/>
    <n v="2.73"/>
    <n v="3.42"/>
    <s v="Hira"/>
  </r>
  <r>
    <s v="ORD-1113"/>
    <x v="7"/>
    <s v="2025"/>
    <s v="Saturday"/>
    <d v="2025-07-26T00:00:00"/>
    <x v="2"/>
    <s v="South"/>
    <s v="Karachi"/>
    <s v="Wholesale"/>
    <s v="Wholesale"/>
    <s v="Accessories"/>
    <x v="1"/>
    <s v="Water Bottle"/>
    <n v="3"/>
    <n v="11.46"/>
    <n v="0"/>
    <x v="112"/>
    <n v="14.78"/>
    <n v="19.600000000000001"/>
    <s v="Unknown"/>
  </r>
  <r>
    <s v="ORD-1114"/>
    <x v="11"/>
    <s v="2026"/>
    <s v="Thursday"/>
    <d v="2026-01-22T00:00:00"/>
    <x v="3"/>
    <s v="East"/>
    <s v="Islamabad"/>
    <s v="Corporate"/>
    <s v="Corporate"/>
    <s v="Accessories"/>
    <x v="1"/>
    <s v="Water Bottle"/>
    <n v="1"/>
    <n v="11.98"/>
    <n v="0.1"/>
    <x v="113"/>
    <n v="5.15"/>
    <n v="5.63"/>
    <s v="Ayesha"/>
  </r>
  <r>
    <s v="ORD-1115"/>
    <x v="8"/>
    <s v="2025"/>
    <s v="Thursday"/>
    <d v="2025-02-27T00:00:00"/>
    <x v="2"/>
    <s v="South"/>
    <s v="Karachi"/>
    <s v="Wholesale"/>
    <s v="Wholesale"/>
    <s v="Electronics"/>
    <x v="10"/>
    <s v="Laptop Stand"/>
    <n v="10"/>
    <n v="22.49"/>
    <n v="0"/>
    <x v="114"/>
    <n v="112.45"/>
    <n v="112.45"/>
    <s v="Hamza"/>
  </r>
  <r>
    <s v="ORD-1116"/>
    <x v="10"/>
    <s v="2026"/>
    <s v="Sunday"/>
    <d v="2026-04-26T00:00:00"/>
    <x v="3"/>
    <s v="East"/>
    <s v="Islamabad"/>
    <s v="Online"/>
    <s v="Online"/>
    <s v="Office Supplies"/>
    <x v="6"/>
    <s v="Notebook Set"/>
    <n v="4"/>
    <n v="9.11"/>
    <n v="0.15"/>
    <x v="115"/>
    <n v="14.58"/>
    <n v="16.39"/>
    <s v="Ali"/>
  </r>
  <r>
    <s v="ORD-1117"/>
    <x v="10"/>
    <s v="2025"/>
    <s v="Thursday"/>
    <d v="2025-04-24T00:00:00"/>
    <x v="1"/>
    <s v="North"/>
    <s v="Lahore"/>
    <s v="Corporate"/>
    <s v="Corporate"/>
    <s v="Office Supplies"/>
    <x v="9"/>
    <s v="Printer Paper"/>
    <n v="9"/>
    <n v="10.039999999999999"/>
    <n v="0.1"/>
    <x v="116"/>
    <n v="34.340000000000003"/>
    <n v="46.98"/>
    <s v="Hamza"/>
  </r>
  <r>
    <s v="ORD-1118"/>
    <x v="2"/>
    <s v="2026"/>
    <s v="Saturday"/>
    <d v="2026-08-01T00:00:00"/>
    <x v="2"/>
    <s v="South"/>
    <s v="Karachi"/>
    <s v="Wholesale"/>
    <s v="Wholesale"/>
    <s v="Electronics"/>
    <x v="8"/>
    <s v="USB-C Hub"/>
    <n v="3"/>
    <n v="23.48"/>
    <n v="0.05"/>
    <x v="117"/>
    <n v="38.74"/>
    <n v="28.18"/>
    <s v="Ali"/>
  </r>
  <r>
    <s v="ORD-1119"/>
    <x v="11"/>
    <s v="2025"/>
    <s v="Wednesday"/>
    <d v="2025-01-01T00:00:00"/>
    <x v="4"/>
    <s v="West"/>
    <s v="Peshawar"/>
    <s v="Wholesale"/>
    <s v="Wholesale"/>
    <s v="Furniture"/>
    <x v="5"/>
    <s v="Standing Desk"/>
    <n v="1"/>
    <n v="259.29000000000002"/>
    <n v="0.1"/>
    <x v="118"/>
    <n v="155.57"/>
    <n v="77.790000000000006"/>
    <s v="Ali"/>
  </r>
  <r>
    <s v="ORD-1120"/>
    <x v="5"/>
    <s v="2026"/>
    <s v="Wednesday"/>
    <d v="2026-05-06T00:00:00"/>
    <x v="1"/>
    <s v="North"/>
    <s v="Lahore"/>
    <s v="Retail"/>
    <s v="Retail"/>
    <s v="Office Supplies"/>
    <x v="9"/>
    <s v="Printer Paper"/>
    <n v="5"/>
    <n v="10.77"/>
    <n v="0.15"/>
    <x v="119"/>
    <n v="20.46"/>
    <n v="25.31"/>
    <s v="Hira"/>
  </r>
  <r>
    <s v="ORD-1121"/>
    <x v="6"/>
    <s v="2025"/>
    <s v="Sunday"/>
    <d v="2025-09-07T00:00:00"/>
    <x v="4"/>
    <s v="West"/>
    <s v="Peshawar"/>
    <s v="Retail"/>
    <s v="Retail"/>
    <s v="Office Supplies"/>
    <x v="9"/>
    <s v="Printer Paper"/>
    <n v="1"/>
    <n v="12.86"/>
    <n v="0.05"/>
    <x v="120"/>
    <n v="4.8899999999999997"/>
    <n v="7.33"/>
    <s v="Hamza"/>
  </r>
  <r>
    <s v="ORD-1122"/>
    <x v="7"/>
    <s v="2026"/>
    <s v="Friday"/>
    <d v="2026-07-03T00:00:00"/>
    <x v="0"/>
    <s v="central"/>
    <s v="Faisalabad"/>
    <s v="Online"/>
    <s v="Online"/>
    <s v="Electronics"/>
    <x v="8"/>
    <s v="USB-C Hub"/>
    <n v="11"/>
    <n v="23.8"/>
    <n v="0.15"/>
    <x v="121"/>
    <n v="143.99"/>
    <n v="78.540000000000006"/>
    <s v="Ali"/>
  </r>
  <r>
    <s v="ORD-1123"/>
    <x v="6"/>
    <s v="2025"/>
    <s v="Tuesday"/>
    <d v="2025-09-16T00:00:00"/>
    <x v="0"/>
    <s v="central"/>
    <s v="Faisalabad"/>
    <s v="Wholesale"/>
    <s v="Wholesale"/>
    <s v="Accessories"/>
    <x v="1"/>
    <s v="Water Bottle"/>
    <n v="10"/>
    <n v="9.0299999999999994"/>
    <n v="0.05"/>
    <x v="122"/>
    <n v="38.83"/>
    <n v="46.96"/>
    <s v="Zainab"/>
  </r>
  <r>
    <s v="ORD-1124"/>
    <x v="2"/>
    <s v="2026"/>
    <s v="Tuesday"/>
    <d v="2026-08-11T00:00:00"/>
    <x v="1"/>
    <s v="North"/>
    <s v="Lahore"/>
    <s v="Retail"/>
    <s v="Retail"/>
    <s v="Electronics"/>
    <x v="0"/>
    <s v="wireless mouse"/>
    <n v="11"/>
    <n v="18.97"/>
    <n v="0"/>
    <x v="123"/>
    <n v="100.16"/>
    <n v="108.51"/>
    <s v="Usman"/>
  </r>
  <r>
    <s v="ORD-1125"/>
    <x v="9"/>
    <s v="2025"/>
    <s v="Monday"/>
    <d v="2025-10-13T00:00:00"/>
    <x v="1"/>
    <s v="North"/>
    <s v="Lahore"/>
    <s v="Online"/>
    <s v="Online"/>
    <s v="Office Supplies"/>
    <x v="11"/>
    <s v="Desk Organizer"/>
    <n v="7"/>
    <n v="16.09"/>
    <n v="0.15"/>
    <x v="124"/>
    <n v="51.81"/>
    <n v="43.93"/>
    <s v="Hira"/>
  </r>
  <r>
    <s v="ORD-1126"/>
    <x v="3"/>
    <s v="2026"/>
    <s v="Thursday"/>
    <d v="2026-03-05T00:00:00"/>
    <x v="4"/>
    <s v="West"/>
    <s v="Peshawar"/>
    <s v="Corporate"/>
    <s v="Corporate"/>
    <s v="Accessories"/>
    <x v="2"/>
    <s v="Keyboard Cover"/>
    <n v="6"/>
    <n v="10.91"/>
    <n v="0.05"/>
    <x v="125"/>
    <n v="26.84"/>
    <n v="35.35"/>
    <s v="Hira"/>
  </r>
  <r>
    <s v="ORD-1127"/>
    <x v="9"/>
    <s v="2025"/>
    <s v="Tuesday"/>
    <d v="2025-10-07T00:00:00"/>
    <x v="2"/>
    <s v="South"/>
    <s v="Karachi"/>
    <s v="Wholesale"/>
    <s v="Wholesale"/>
    <s v="Office Supplies"/>
    <x v="11"/>
    <s v="Desk Organizer"/>
    <n v="9"/>
    <n v="14.11"/>
    <n v="0.1"/>
    <x v="126"/>
    <n v="58.42"/>
    <n v="55.87"/>
    <s v="Usman"/>
  </r>
  <r>
    <s v="ORD-1128"/>
    <x v="11"/>
    <s v="2026"/>
    <s v="Sunday"/>
    <d v="2026-01-04T00:00:00"/>
    <x v="0"/>
    <s v="central"/>
    <s v="Faisalabad"/>
    <s v="Wholesale"/>
    <s v="Wholesale"/>
    <s v="Furniture"/>
    <x v="3"/>
    <s v="Bookshelf"/>
    <n v="3"/>
    <n v="94.82"/>
    <n v="0.05"/>
    <x v="127"/>
    <n v="147.91999999999999"/>
    <n v="122.32"/>
    <s v="Ayesha"/>
  </r>
  <r>
    <s v="ORD-1129"/>
    <x v="9"/>
    <s v="2025"/>
    <s v="Monday"/>
    <d v="2025-10-27T00:00:00"/>
    <x v="2"/>
    <s v="South"/>
    <s v="Karachi"/>
    <s v="Wholesale"/>
    <s v="Wholesale"/>
    <s v="Electronics"/>
    <x v="8"/>
    <s v="USB-C Hub"/>
    <n v="2"/>
    <n v="26.74"/>
    <n v="0.15"/>
    <x v="128"/>
    <n v="29.41"/>
    <n v="16.05"/>
    <s v="Ali"/>
  </r>
  <r>
    <s v="ORD-1130"/>
    <x v="1"/>
    <s v="2026"/>
    <s v="Tuesday"/>
    <d v="2026-11-17T00:00:00"/>
    <x v="2"/>
    <s v="South"/>
    <s v="Karachi"/>
    <s v="Online"/>
    <s v="Online"/>
    <s v="Furniture"/>
    <x v="3"/>
    <s v="Bookshelf"/>
    <n v="1"/>
    <n v="93.01"/>
    <n v="0.05"/>
    <x v="129"/>
    <n v="48.37"/>
    <n v="39.99"/>
    <s v="Ayesha"/>
  </r>
  <r>
    <s v="ORD-1131"/>
    <x v="11"/>
    <s v="2025"/>
    <s v="Tuesday"/>
    <d v="2025-01-28T00:00:00"/>
    <x v="2"/>
    <s v="South"/>
    <s v="Karachi"/>
    <s v="Corporate"/>
    <s v="Corporate"/>
    <s v="Furniture"/>
    <x v="3"/>
    <s v="Bookshelf"/>
    <n v="8"/>
    <n v="93.13"/>
    <n v="0.15"/>
    <x v="130"/>
    <n v="387.42"/>
    <n v="245.86"/>
    <s v="Ayesha"/>
  </r>
  <r>
    <s v="ORD-1132"/>
    <x v="2"/>
    <s v="2026"/>
    <s v="Sunday"/>
    <d v="2026-08-16T00:00:00"/>
    <x v="0"/>
    <s v="central"/>
    <s v="Faisalabad"/>
    <s v="Retail"/>
    <s v="Retail"/>
    <s v="Electronics"/>
    <x v="0"/>
    <s v="wireless mouse"/>
    <n v="9"/>
    <n v="17.809999999999999"/>
    <n v="0"/>
    <x v="131"/>
    <n v="76.94"/>
    <n v="83.35"/>
    <s v="Ali"/>
  </r>
  <r>
    <s v="ORD-1133"/>
    <x v="1"/>
    <s v="2025"/>
    <s v="Tuesday"/>
    <d v="2025-11-25T00:00:00"/>
    <x v="3"/>
    <s v="East"/>
    <s v="Islamabad"/>
    <s v="Corporate"/>
    <s v="Corporate"/>
    <s v="Furniture"/>
    <x v="3"/>
    <s v="Bookshelf"/>
    <n v="12"/>
    <n v="93.95"/>
    <n v="0"/>
    <x v="132"/>
    <n v="586.25"/>
    <n v="541.15"/>
    <s v="Zainab"/>
  </r>
  <r>
    <s v="ORD-1134"/>
    <x v="3"/>
    <s v="2026"/>
    <s v="Monday"/>
    <d v="2026-03-16T00:00:00"/>
    <x v="3"/>
    <s v="East"/>
    <s v="Islamabad"/>
    <s v="Retail"/>
    <s v="Retail"/>
    <s v="Furniture"/>
    <x v="3"/>
    <s v="Bookshelf"/>
    <n v="2"/>
    <n v="94.21"/>
    <n v="0"/>
    <x v="133"/>
    <n v="97.98"/>
    <n v="90.44"/>
    <s v="Hamza"/>
  </r>
  <r>
    <s v="ORD-1135"/>
    <x v="2"/>
    <s v="2025"/>
    <s v="Thursday"/>
    <d v="2025-08-07T00:00:00"/>
    <x v="0"/>
    <s v="central"/>
    <s v="Faisalabad"/>
    <s v="Online"/>
    <s v="Online"/>
    <s v="Accessories"/>
    <x v="2"/>
    <s v="Keyboard Cover"/>
    <n v="9"/>
    <n v="10.38"/>
    <n v="0.15"/>
    <x v="134"/>
    <n v="38.299999999999997"/>
    <n v="41.11"/>
    <s v="Zainab"/>
  </r>
  <r>
    <s v="ORD-1136"/>
    <x v="0"/>
    <s v="2026"/>
    <s v="Friday"/>
    <d v="2026-06-05T00:00:00"/>
    <x v="2"/>
    <s v="South"/>
    <s v="Karachi"/>
    <s v="Corporate"/>
    <s v="Corporate"/>
    <s v="Electronics"/>
    <x v="10"/>
    <s v="Laptop Stand"/>
    <n v="6"/>
    <n v="22.08"/>
    <n v="0"/>
    <x v="135"/>
    <n v="66.239999999999995"/>
    <n v="66.239999999999995"/>
    <s v="Hamza"/>
  </r>
  <r>
    <s v="ORD-1137"/>
    <x v="11"/>
    <s v="2025"/>
    <s v="Monday"/>
    <d v="2025-01-27T00:00:00"/>
    <x v="1"/>
    <s v="North"/>
    <s v="Lahore"/>
    <s v="Retail"/>
    <s v="Retail"/>
    <s v="Electronics"/>
    <x v="10"/>
    <s v="Laptop Stand"/>
    <n v="4"/>
    <n v="20.16"/>
    <n v="0.1"/>
    <x v="136"/>
    <n v="40.32"/>
    <n v="32.26"/>
    <s v="Ayesha"/>
  </r>
  <r>
    <s v="ORD-1138"/>
    <x v="1"/>
    <s v="2026"/>
    <s v="Saturday"/>
    <d v="2026-11-07T00:00:00"/>
    <x v="0"/>
    <s v="central"/>
    <s v="Faisalabad"/>
    <s v="Retail"/>
    <s v="Retail"/>
    <s v="Furniture"/>
    <x v="5"/>
    <s v="Standing Desk"/>
    <n v="3"/>
    <n v="258.33"/>
    <n v="0.1"/>
    <x v="137"/>
    <n v="464.99"/>
    <n v="232.5"/>
    <s v="Hira"/>
  </r>
  <r>
    <s v="ORD-1139"/>
    <x v="1"/>
    <s v="2025"/>
    <s v="Sunday"/>
    <d v="2025-11-23T00:00:00"/>
    <x v="3"/>
    <s v="East"/>
    <s v="Islamabad"/>
    <s v="Wholesale"/>
    <s v="Wholesale"/>
    <s v="Furniture"/>
    <x v="3"/>
    <s v="Bookshelf"/>
    <n v="3"/>
    <n v="94.27"/>
    <n v="0.05"/>
    <x v="138"/>
    <n v="147.06"/>
    <n v="121.61"/>
    <s v="Ali"/>
  </r>
  <r>
    <s v="ORD-1140"/>
    <x v="11"/>
    <s v="2026"/>
    <s v="Sunday"/>
    <d v="2026-01-11T00:00:00"/>
    <x v="4"/>
    <s v="West"/>
    <s v="Peshawar"/>
    <s v="Retail"/>
    <s v="Retail"/>
    <s v="Electronics"/>
    <x v="0"/>
    <s v="wireless mouse"/>
    <n v="6"/>
    <n v="19.22"/>
    <n v="0"/>
    <x v="139"/>
    <n v="55.35"/>
    <n v="59.97"/>
    <s v="Usman"/>
  </r>
  <r>
    <s v="ORD-1141"/>
    <x v="10"/>
    <s v="2025"/>
    <s v="Sunday"/>
    <d v="2025-04-27T00:00:00"/>
    <x v="2"/>
    <s v="South"/>
    <s v="Karachi"/>
    <s v="Wholesale"/>
    <s v="Wholesale"/>
    <s v="Furniture"/>
    <x v="4"/>
    <s v="Ergonomic Chair"/>
    <n v="2"/>
    <n v="141.93"/>
    <n v="0.15"/>
    <x v="140"/>
    <n v="164.64"/>
    <n v="76.64"/>
    <s v="Zainab"/>
  </r>
  <r>
    <s v="ORD-1142"/>
    <x v="10"/>
    <s v="2026"/>
    <s v="Monday"/>
    <d v="2026-04-13T00:00:00"/>
    <x v="0"/>
    <s v="central"/>
    <s v="Faisalabad"/>
    <s v="Corporate"/>
    <s v="Corporate"/>
    <s v="Electronics"/>
    <x v="10"/>
    <s v="Laptop Stand"/>
    <n v="1"/>
    <n v="22.78"/>
    <n v="0.15"/>
    <x v="141"/>
    <n v="11.39"/>
    <n v="7.97"/>
    <s v="Usman"/>
  </r>
  <r>
    <s v="ORD-1143"/>
    <x v="9"/>
    <s v="2025"/>
    <s v="Tuesday"/>
    <d v="2025-10-07T00:00:00"/>
    <x v="4"/>
    <s v="West"/>
    <s v="Peshawar"/>
    <s v="Online"/>
    <s v="Online"/>
    <s v="Electronics"/>
    <x v="8"/>
    <s v="USB-C Hub"/>
    <n v="5"/>
    <n v="24.41"/>
    <n v="0.1"/>
    <x v="142"/>
    <n v="67.13"/>
    <n v="42.72"/>
    <s v="Ayesha"/>
  </r>
  <r>
    <s v="ORD-1144"/>
    <x v="10"/>
    <s v="2026"/>
    <s v="Friday"/>
    <d v="2026-04-24T00:00:00"/>
    <x v="1"/>
    <s v="North"/>
    <s v="Lahore"/>
    <s v="Wholesale"/>
    <s v="Wholesale"/>
    <s v="Electronics"/>
    <x v="10"/>
    <s v="Laptop Stand"/>
    <n v="8"/>
    <n v="23.43"/>
    <n v="0.05"/>
    <x v="143"/>
    <n v="93.72"/>
    <n v="84.35"/>
    <s v="Ayesha"/>
  </r>
  <r>
    <s v="ORD-1145"/>
    <x v="4"/>
    <s v="2025"/>
    <s v="Sunday"/>
    <d v="2025-12-07T00:00:00"/>
    <x v="2"/>
    <s v="South"/>
    <s v="Karachi"/>
    <s v="Wholesale"/>
    <s v="Wholesale"/>
    <s v="Office Supplies"/>
    <x v="11"/>
    <s v="Desk Organizer"/>
    <n v="7"/>
    <n v="13.02"/>
    <n v="0"/>
    <x v="144"/>
    <n v="41.92"/>
    <n v="49.22"/>
    <s v="Usman"/>
  </r>
  <r>
    <s v="ORD-1146"/>
    <x v="10"/>
    <s v="2026"/>
    <s v="Monday"/>
    <d v="2026-04-13T00:00:00"/>
    <x v="3"/>
    <s v="East"/>
    <s v="Islamabad"/>
    <s v="Corporate"/>
    <s v="Corporate"/>
    <s v="Electronics"/>
    <x v="10"/>
    <s v="Laptop Stand"/>
    <n v="7"/>
    <n v="22.74"/>
    <n v="0.1"/>
    <x v="145"/>
    <n v="79.59"/>
    <n v="63.67"/>
    <s v="Hira"/>
  </r>
  <r>
    <s v="ORD-1147"/>
    <x v="9"/>
    <s v="2025"/>
    <s v="Wednesday"/>
    <d v="2025-10-22T00:00:00"/>
    <x v="3"/>
    <s v="East"/>
    <s v="Islamabad"/>
    <s v="Wholesale"/>
    <s v="Wholesale"/>
    <s v="Accessories"/>
    <x v="2"/>
    <s v="Keyboard Cover"/>
    <n v="9"/>
    <n v="10.119999999999999"/>
    <n v="0.15"/>
    <x v="146"/>
    <n v="37.340000000000003"/>
    <n v="40.08"/>
    <s v="Ayesha"/>
  </r>
  <r>
    <s v="ORD-1148"/>
    <x v="6"/>
    <s v="2026"/>
    <s v="Sunday"/>
    <d v="2026-09-27T00:00:00"/>
    <x v="1"/>
    <s v="North"/>
    <s v="Lahore"/>
    <s v="Retail"/>
    <s v="Retail"/>
    <s v="Office Supplies"/>
    <x v="11"/>
    <s v="Desk Organizer"/>
    <n v="7"/>
    <n v="14.49"/>
    <n v="0.1"/>
    <x v="147"/>
    <n v="46.66"/>
    <n v="44.63"/>
    <s v="Usman"/>
  </r>
  <r>
    <s v="ORD-1149"/>
    <x v="7"/>
    <s v="2025"/>
    <s v="Monday"/>
    <d v="2025-07-14T00:00:00"/>
    <x v="4"/>
    <s v="West"/>
    <s v="Peshawar"/>
    <s v="Retail"/>
    <s v="Retail"/>
    <s v="Furniture"/>
    <x v="3"/>
    <s v="Bookshelf"/>
    <n v="12"/>
    <n v="95.24"/>
    <n v="0.15"/>
    <x v="148"/>
    <n v="594.29999999999995"/>
    <n v="377.15"/>
    <s v="Usman"/>
  </r>
  <r>
    <s v="ORD-1150"/>
    <x v="7"/>
    <s v="2026"/>
    <s v="Saturday"/>
    <d v="2026-07-18T00:00:00"/>
    <x v="1"/>
    <s v="North"/>
    <s v="Lahore"/>
    <s v="Corporate"/>
    <s v="Corporate"/>
    <s v="Office Supplies"/>
    <x v="6"/>
    <s v="Notebook Set"/>
    <n v="9"/>
    <n v="6.51"/>
    <n v="0.1"/>
    <x v="149"/>
    <n v="23.44"/>
    <n v="29.29"/>
    <s v="Ali"/>
  </r>
  <r>
    <s v="ORD-1151"/>
    <x v="8"/>
    <s v="2025"/>
    <s v="Saturday"/>
    <d v="2025-02-22T00:00:00"/>
    <x v="2"/>
    <s v="South"/>
    <s v="Karachi"/>
    <s v="Online"/>
    <s v="Online"/>
    <s v="Electronics"/>
    <x v="8"/>
    <s v="USB-C Hub"/>
    <n v="8"/>
    <n v="26.96"/>
    <n v="0.15"/>
    <x v="150"/>
    <n v="118.62"/>
    <n v="64.709999999999994"/>
    <s v="Ayesha"/>
  </r>
  <r>
    <s v="ORD-1152"/>
    <x v="8"/>
    <s v="2026"/>
    <s v="Wednesday"/>
    <d v="2026-02-04T00:00:00"/>
    <x v="1"/>
    <s v="North"/>
    <s v="Lahore"/>
    <s v="Online"/>
    <s v="Online"/>
    <s v="Office Supplies"/>
    <x v="6"/>
    <s v="Notebook Set"/>
    <n v="11"/>
    <n v="8.7100000000000009"/>
    <n v="0.05"/>
    <x v="151"/>
    <n v="38.32"/>
    <n v="52.7"/>
    <s v="Usman"/>
  </r>
  <r>
    <s v="ORD-1153"/>
    <x v="5"/>
    <s v="2025"/>
    <s v="Wednesday"/>
    <d v="2025-05-28T00:00:00"/>
    <x v="2"/>
    <s v="South"/>
    <s v="Karachi"/>
    <s v="Corporate"/>
    <s v="Corporate"/>
    <s v="Electronics"/>
    <x v="0"/>
    <s v="wireless mouse"/>
    <n v="2"/>
    <n v="19.57"/>
    <n v="0.15"/>
    <x v="152"/>
    <n v="18.79"/>
    <n v="14.48"/>
    <s v="Ayesha"/>
  </r>
  <r>
    <s v="ORD-1154"/>
    <x v="4"/>
    <s v="2026"/>
    <s v="Thursday"/>
    <d v="2026-12-10T00:00:00"/>
    <x v="1"/>
    <s v="North"/>
    <s v="Lahore"/>
    <s v="Retail"/>
    <s v="Retail"/>
    <s v="Office Supplies"/>
    <x v="9"/>
    <s v="Printer Paper"/>
    <n v="8"/>
    <n v="10.220000000000001"/>
    <n v="0"/>
    <x v="153"/>
    <n v="31.07"/>
    <n v="50.69"/>
    <s v="Zainab"/>
  </r>
  <r>
    <s v="ORD-1155"/>
    <x v="1"/>
    <s v="2025"/>
    <s v="Friday"/>
    <d v="2025-11-28T00:00:00"/>
    <x v="1"/>
    <s v="North"/>
    <s v="Lahore"/>
    <s v="Retail"/>
    <s v="Retail"/>
    <s v="Electronics"/>
    <x v="10"/>
    <s v="Laptop Stand"/>
    <n v="12"/>
    <n v="23.48"/>
    <n v="0.1"/>
    <x v="154"/>
    <n v="140.88"/>
    <n v="112.7"/>
    <s v="Zainab"/>
  </r>
  <r>
    <s v="ORD-1156"/>
    <x v="7"/>
    <s v="2026"/>
    <s v="Thursday"/>
    <d v="2026-07-16T00:00:00"/>
    <x v="2"/>
    <s v="South"/>
    <s v="Karachi"/>
    <s v="Corporate"/>
    <s v="Corporate"/>
    <s v="Electronics"/>
    <x v="10"/>
    <s v="Laptop Stand"/>
    <n v="7"/>
    <n v="20.13"/>
    <n v="0"/>
    <x v="155"/>
    <n v="70.459999999999994"/>
    <n v="70.45"/>
    <s v="Usman"/>
  </r>
  <r>
    <s v="ORD-1157"/>
    <x v="9"/>
    <s v="2025"/>
    <s v="Friday"/>
    <d v="2025-10-10T00:00:00"/>
    <x v="2"/>
    <s v="South"/>
    <s v="Karachi"/>
    <s v="Wholesale"/>
    <s v="Wholesale"/>
    <s v="Accessories"/>
    <x v="7"/>
    <s v="Laptop Sleeve"/>
    <n v="9"/>
    <n v="20.57"/>
    <n v="0"/>
    <x v="156"/>
    <n v="90.71"/>
    <n v="94.42"/>
    <s v="Usman"/>
  </r>
  <r>
    <s v="ORD-1158"/>
    <x v="6"/>
    <s v="2026"/>
    <s v="Saturday"/>
    <d v="2026-09-12T00:00:00"/>
    <x v="2"/>
    <s v="South"/>
    <s v="Karachi"/>
    <s v="Retail"/>
    <s v="Retail"/>
    <s v="Electronics"/>
    <x v="8"/>
    <s v="USB-C Hub"/>
    <n v="11"/>
    <n v="24.5"/>
    <n v="0"/>
    <x v="157"/>
    <n v="148.22999999999999"/>
    <n v="121.27"/>
    <s v="Zainab"/>
  </r>
  <r>
    <s v="ORD-1159"/>
    <x v="4"/>
    <s v="2025"/>
    <s v="Monday"/>
    <d v="2025-12-08T00:00:00"/>
    <x v="2"/>
    <s v="South"/>
    <s v="Karachi"/>
    <s v="Wholesale"/>
    <s v="Wholesale"/>
    <s v="Furniture"/>
    <x v="4"/>
    <s v="Ergonomic Chair"/>
    <n v="1"/>
    <n v="139.85"/>
    <n v="0.05"/>
    <x v="158"/>
    <n v="81.11"/>
    <n v="51.75"/>
    <s v="Hira"/>
  </r>
  <r>
    <s v="ORD-1160"/>
    <x v="1"/>
    <s v="2026"/>
    <s v="Wednesday"/>
    <d v="2026-11-25T00:00:00"/>
    <x v="0"/>
    <s v="central"/>
    <s v="Faisalabad"/>
    <s v="Wholesale"/>
    <s v="Wholesale"/>
    <s v="Office Supplies"/>
    <x v="6"/>
    <s v="Notebook Set"/>
    <n v="3"/>
    <n v="9.39"/>
    <n v="0.1"/>
    <x v="159"/>
    <n v="11.27"/>
    <n v="14.08"/>
    <s v="Usman"/>
  </r>
  <r>
    <s v="ORD-1161"/>
    <x v="7"/>
    <s v="2025"/>
    <s v="Thursday"/>
    <d v="2025-07-10T00:00:00"/>
    <x v="0"/>
    <s v="central"/>
    <s v="Faisalabad"/>
    <s v="Online"/>
    <s v="Online"/>
    <s v="Electronics"/>
    <x v="10"/>
    <s v="Laptop Stand"/>
    <n v="1"/>
    <n v="20.12"/>
    <n v="0.05"/>
    <x v="160"/>
    <n v="10.06"/>
    <n v="9.0500000000000007"/>
    <s v="Hamza"/>
  </r>
  <r>
    <s v="ORD-1162"/>
    <x v="6"/>
    <s v="2026"/>
    <s v="Wednesday"/>
    <d v="2026-09-16T00:00:00"/>
    <x v="3"/>
    <s v="East"/>
    <s v="Islamabad"/>
    <s v="Wholesale"/>
    <s v="Wholesale"/>
    <s v="Furniture"/>
    <x v="5"/>
    <s v="Standing Desk"/>
    <n v="5"/>
    <n v="258.39999999999998"/>
    <n v="0.05"/>
    <x v="161"/>
    <n v="775.2"/>
    <n v="452.2"/>
    <s v="Hamza"/>
  </r>
  <r>
    <s v="ORD-1163"/>
    <x v="5"/>
    <s v="2025"/>
    <s v="Wednesday"/>
    <d v="2025-05-21T00:00:00"/>
    <x v="4"/>
    <s v="West"/>
    <s v="Peshawar"/>
    <s v="Retail"/>
    <s v="Retail"/>
    <s v="Office Supplies"/>
    <x v="6"/>
    <s v="Notebook Set"/>
    <n v="8"/>
    <n v="9.5"/>
    <n v="0.15"/>
    <x v="162"/>
    <n v="30.4"/>
    <n v="34.200000000000003"/>
    <s v="Ayesha"/>
  </r>
  <r>
    <s v="ORD-1164"/>
    <x v="6"/>
    <s v="2026"/>
    <s v="Monday"/>
    <d v="2026-09-28T00:00:00"/>
    <x v="4"/>
    <s v="West"/>
    <s v="Peshawar"/>
    <s v="Online"/>
    <s v="Online"/>
    <s v="Furniture"/>
    <x v="5"/>
    <s v="Standing Desk"/>
    <n v="6"/>
    <n v="260.64"/>
    <n v="0"/>
    <x v="163"/>
    <n v="938.3"/>
    <n v="625.54"/>
    <s v="Usman"/>
  </r>
  <r>
    <s v="ORD-1165"/>
    <x v="9"/>
    <s v="2025"/>
    <s v="Thursday"/>
    <d v="2025-10-09T00:00:00"/>
    <x v="4"/>
    <s v="West"/>
    <s v="Peshawar"/>
    <s v="Retail"/>
    <s v="Retail"/>
    <s v="Accessories"/>
    <x v="1"/>
    <s v="Water Bottle"/>
    <n v="11"/>
    <n v="8.65"/>
    <n v="0"/>
    <x v="164"/>
    <n v="40.909999999999997"/>
    <n v="54.24"/>
    <s v="Usman"/>
  </r>
  <r>
    <s v="ORD-1166"/>
    <x v="2"/>
    <s v="2026"/>
    <s v="Friday"/>
    <d v="2026-08-14T00:00:00"/>
    <x v="3"/>
    <s v="East"/>
    <s v="Islamabad"/>
    <s v="Online"/>
    <s v="Online"/>
    <s v="Electronics"/>
    <x v="0"/>
    <s v="wireless mouse"/>
    <n v="3"/>
    <n v="19.98"/>
    <n v="0.05"/>
    <x v="165"/>
    <n v="28.77"/>
    <n v="28.17"/>
    <s v="Usman"/>
  </r>
  <r>
    <s v="ORD-1167"/>
    <x v="3"/>
    <s v="2025"/>
    <s v="Thursday"/>
    <d v="2025-03-20T00:00:00"/>
    <x v="4"/>
    <s v="West"/>
    <s v="Peshawar"/>
    <s v="Retail"/>
    <s v="Retail"/>
    <s v="Furniture"/>
    <x v="3"/>
    <s v="Bookshelf"/>
    <n v="9"/>
    <n v="96.33"/>
    <n v="0.1"/>
    <x v="166"/>
    <n v="450.82"/>
    <n v="329.45"/>
    <s v="Ali"/>
  </r>
  <r>
    <s v="ORD-1168"/>
    <x v="6"/>
    <s v="2026"/>
    <s v="Saturday"/>
    <d v="2026-09-12T00:00:00"/>
    <x v="1"/>
    <s v="North"/>
    <s v="Lahore"/>
    <s v="Corporate"/>
    <s v="Corporate"/>
    <s v="Accessories"/>
    <x v="7"/>
    <s v="Laptop Sleeve"/>
    <n v="4"/>
    <n v="20.72"/>
    <n v="0.05"/>
    <x v="167"/>
    <n v="40.61"/>
    <n v="38.130000000000003"/>
    <s v="Zainab"/>
  </r>
  <r>
    <s v="ORD-1169"/>
    <x v="5"/>
    <s v="2025"/>
    <s v="Saturday"/>
    <d v="2025-05-03T00:00:00"/>
    <x v="4"/>
    <s v="West"/>
    <s v="Peshawar"/>
    <s v="Retail"/>
    <s v="Retail"/>
    <s v="Electronics"/>
    <x v="10"/>
    <s v="Laptop Stand"/>
    <n v="3"/>
    <n v="22.25"/>
    <n v="0.05"/>
    <x v="168"/>
    <n v="33.380000000000003"/>
    <n v="30.03"/>
    <s v="Usman"/>
  </r>
  <r>
    <s v="ORD-1170"/>
    <x v="5"/>
    <s v="2026"/>
    <s v="Monday"/>
    <d v="2026-05-25T00:00:00"/>
    <x v="0"/>
    <s v="central"/>
    <s v="Faisalabad"/>
    <s v="Online"/>
    <s v="Online"/>
    <s v="Office Supplies"/>
    <x v="11"/>
    <s v="Desk Organizer"/>
    <n v="4"/>
    <n v="16.22"/>
    <n v="0.05"/>
    <x v="169"/>
    <n v="29.84"/>
    <n v="31.8"/>
    <s v="Ali"/>
  </r>
  <r>
    <s v="ORD-1171"/>
    <x v="11"/>
    <s v="2025"/>
    <s v="Sunday"/>
    <d v="2025-01-12T00:00:00"/>
    <x v="1"/>
    <s v="North"/>
    <s v="Lahore"/>
    <s v="Online"/>
    <s v="Online"/>
    <s v="Electronics"/>
    <x v="0"/>
    <s v="wireless mouse"/>
    <n v="2"/>
    <n v="16.38"/>
    <n v="0"/>
    <x v="170"/>
    <n v="15.72"/>
    <n v="17.04"/>
    <s v="Hamza"/>
  </r>
  <r>
    <s v="ORD-1172"/>
    <x v="2"/>
    <s v="2026"/>
    <s v="Friday"/>
    <d v="2026-08-21T00:00:00"/>
    <x v="2"/>
    <s v="South"/>
    <s v="Karachi"/>
    <s v="Corporate"/>
    <s v="Corporate"/>
    <s v="Accessories"/>
    <x v="1"/>
    <s v="Water Bottle"/>
    <n v="12"/>
    <n v="9.93"/>
    <n v="0.05"/>
    <x v="171"/>
    <n v="51.24"/>
    <n v="61.96"/>
    <s v="Ali"/>
  </r>
  <r>
    <s v="ORD-1173"/>
    <x v="3"/>
    <s v="2025"/>
    <s v="Tuesday"/>
    <d v="2025-03-04T00:00:00"/>
    <x v="3"/>
    <s v="East"/>
    <s v="Islamabad"/>
    <s v="Corporate"/>
    <s v="Corporate"/>
    <s v="Accessories"/>
    <x v="1"/>
    <s v="Water Bottle"/>
    <n v="4"/>
    <n v="9.3000000000000007"/>
    <n v="0.1"/>
    <x v="172"/>
    <n v="16"/>
    <n v="17.48"/>
    <s v="Zainab"/>
  </r>
  <r>
    <s v="ORD-1174"/>
    <x v="6"/>
    <s v="2026"/>
    <s v="Friday"/>
    <d v="2026-09-18T00:00:00"/>
    <x v="3"/>
    <s v="East"/>
    <s v="Islamabad"/>
    <s v="Corporate"/>
    <s v="Corporate"/>
    <s v="Electronics"/>
    <x v="10"/>
    <s v="Laptop Stand"/>
    <n v="3"/>
    <n v="23.74"/>
    <n v="0.1"/>
    <x v="173"/>
    <n v="35.61"/>
    <n v="28.49"/>
    <s v="Hamza"/>
  </r>
  <r>
    <s v="ORD-1175"/>
    <x v="5"/>
    <s v="2025"/>
    <s v="Tuesday"/>
    <d v="2025-05-06T00:00:00"/>
    <x v="3"/>
    <s v="East"/>
    <s v="Islamabad"/>
    <s v="Wholesale"/>
    <s v="Wholesale"/>
    <s v="Furniture"/>
    <x v="3"/>
    <s v="Bookshelf"/>
    <n v="12"/>
    <n v="96.34"/>
    <n v="0.1"/>
    <x v="174"/>
    <n v="601.16"/>
    <n v="439.31"/>
    <s v="Usman"/>
  </r>
  <r>
    <s v="ORD-1176"/>
    <x v="0"/>
    <s v="2026"/>
    <s v="Saturday"/>
    <d v="2026-06-27T00:00:00"/>
    <x v="0"/>
    <s v="central"/>
    <s v="Faisalabad"/>
    <s v="Corporate"/>
    <s v="Corporate"/>
    <s v="Office Supplies"/>
    <x v="9"/>
    <s v="Printer Paper"/>
    <n v="10"/>
    <n v="10.199999999999999"/>
    <n v="0"/>
    <x v="175"/>
    <n v="38.76"/>
    <n v="63.24"/>
    <s v="Ali"/>
  </r>
  <r>
    <s v="ORD-1177"/>
    <x v="3"/>
    <s v="2025"/>
    <s v="Tuesday"/>
    <d v="2025-03-18T00:00:00"/>
    <x v="3"/>
    <s v="East"/>
    <s v="Islamabad"/>
    <s v="Retail"/>
    <s v="Retail"/>
    <s v="Electronics"/>
    <x v="10"/>
    <s v="Laptop Stand"/>
    <n v="7"/>
    <n v="23.74"/>
    <n v="0.1"/>
    <x v="176"/>
    <n v="83.09"/>
    <n v="66.47"/>
    <s v="Ali"/>
  </r>
  <r>
    <s v="ORD-1178"/>
    <x v="4"/>
    <s v="2026"/>
    <s v="Sunday"/>
    <d v="2026-12-13T00:00:00"/>
    <x v="2"/>
    <s v="South"/>
    <s v="Karachi"/>
    <s v="Online"/>
    <s v="Online"/>
    <s v="Accessories"/>
    <x v="1"/>
    <s v="Water Bottle"/>
    <n v="3"/>
    <n v="11.27"/>
    <n v="0.1"/>
    <x v="177"/>
    <n v="14.54"/>
    <n v="15.89"/>
    <s v="Zainab"/>
  </r>
  <r>
    <s v="ORD-1179"/>
    <x v="11"/>
    <s v="2025"/>
    <s v="Friday"/>
    <s v="01/24/2025"/>
    <x v="0"/>
    <s v="central"/>
    <s v="Faisalabad"/>
    <s v="Corporate"/>
    <s v="Corporate"/>
    <s v="Furniture"/>
    <x v="3"/>
    <s v="Bookshelf"/>
    <n v="7"/>
    <n v="94.94"/>
    <n v="0.1"/>
    <x v="178"/>
    <n v="345.58"/>
    <n v="252.54"/>
    <s v="Ayesha"/>
  </r>
  <r>
    <s v="ORD-1180"/>
    <x v="5"/>
    <s v="2026"/>
    <s v="Friday"/>
    <d v="2026-05-22T00:00:00"/>
    <x v="4"/>
    <s v="West"/>
    <s v="Peshawar"/>
    <s v="Retail"/>
    <s v="Retail"/>
    <s v="Furniture"/>
    <x v="4"/>
    <s v="Ergonomic Chair"/>
    <n v="10"/>
    <n v="139.04"/>
    <n v="0.15"/>
    <x v="179"/>
    <n v="806.43"/>
    <n v="375.41"/>
    <s v="Hamza"/>
  </r>
  <r>
    <s v="ORD-1181"/>
    <x v="11"/>
    <s v="2025"/>
    <s v="Wednesday"/>
    <d v="2025-01-15T00:00:00"/>
    <x v="2"/>
    <s v="South"/>
    <s v="Karachi"/>
    <s v="Corporate"/>
    <s v="Corporate"/>
    <s v="Office Supplies"/>
    <x v="11"/>
    <s v="Desk Organizer"/>
    <n v="2"/>
    <n v="16.7"/>
    <n v="0.05"/>
    <x v="180"/>
    <n v="15.36"/>
    <n v="16.37"/>
    <s v="Hira"/>
  </r>
  <r>
    <s v="ORD-1182"/>
    <x v="10"/>
    <s v="2026"/>
    <s v="Monday"/>
    <d v="2026-04-13T00:00:00"/>
    <x v="3"/>
    <s v="East"/>
    <s v="Islamabad"/>
    <s v="Online"/>
    <s v="Online"/>
    <s v="Electronics"/>
    <x v="8"/>
    <s v="USB-C Hub"/>
    <n v="4"/>
    <n v="23.38"/>
    <n v="0.15"/>
    <x v="181"/>
    <n v="51.44"/>
    <n v="28.05"/>
    <s v="Hamza"/>
  </r>
  <r>
    <s v="ORD-1183"/>
    <x v="11"/>
    <s v="2025"/>
    <s v="Saturday"/>
    <d v="2025-01-25T00:00:00"/>
    <x v="0"/>
    <s v="central"/>
    <s v="Faisalabad"/>
    <s v="Online"/>
    <s v="Online"/>
    <s v="Electronics"/>
    <x v="8"/>
    <s v="USB-C Hub"/>
    <n v="2"/>
    <n v="24.53"/>
    <n v="0.1"/>
    <x v="182"/>
    <n v="26.98"/>
    <n v="17.170000000000002"/>
    <s v="Ayesha"/>
  </r>
  <r>
    <s v="ORD-1184"/>
    <x v="11"/>
    <s v="2026"/>
    <s v="Friday"/>
    <d v="2026-01-09T00:00:00"/>
    <x v="3"/>
    <s v="East"/>
    <s v="Islamabad"/>
    <s v="Retail"/>
    <s v="Retail"/>
    <s v="Office Supplies"/>
    <x v="11"/>
    <s v="Desk Organizer"/>
    <n v="4"/>
    <n v="13.31"/>
    <n v="0.1"/>
    <x v="183"/>
    <n v="24.49"/>
    <n v="23.43"/>
    <s v="Ali"/>
  </r>
  <r>
    <s v="ORD-1185"/>
    <x v="8"/>
    <s v="2025"/>
    <s v="Tuesday"/>
    <d v="2025-02-04T00:00:00"/>
    <x v="1"/>
    <s v="North"/>
    <s v="Lahore"/>
    <s v="Corporate"/>
    <s v="Corporate"/>
    <s v="Furniture"/>
    <x v="5"/>
    <s v="Standing Desk"/>
    <n v="7"/>
    <n v="260.64999999999998"/>
    <n v="0.1"/>
    <x v="184"/>
    <n v="1094.73"/>
    <n v="547.36"/>
    <s v="Hamza"/>
  </r>
  <r>
    <s v="ORD-1186"/>
    <x v="10"/>
    <s v="2026"/>
    <s v="Thursday"/>
    <d v="2026-04-02T00:00:00"/>
    <x v="2"/>
    <s v="South"/>
    <s v="Karachi"/>
    <s v="Online"/>
    <s v="Online"/>
    <s v="Electronics"/>
    <x v="8"/>
    <s v="USB-C Hub"/>
    <n v="11"/>
    <n v="26.54"/>
    <n v="0.15"/>
    <x v="185"/>
    <n v="160.57"/>
    <n v="87.58"/>
    <s v="Ali"/>
  </r>
  <r>
    <s v="ORD-1187"/>
    <x v="4"/>
    <s v="2025"/>
    <s v="Sunday"/>
    <d v="2025-12-14T00:00:00"/>
    <x v="0"/>
    <s v="central"/>
    <s v="Faisalabad"/>
    <s v="Corporate"/>
    <s v="Corporate"/>
    <s v="Furniture"/>
    <x v="4"/>
    <s v="Ergonomic Chair"/>
    <n v="1"/>
    <n v="139.94"/>
    <n v="0"/>
    <x v="186"/>
    <n v="81.17"/>
    <n v="58.77"/>
    <s v="Hira"/>
  </r>
  <r>
    <s v="ORD-1188"/>
    <x v="4"/>
    <s v="2026"/>
    <s v="Thursday"/>
    <d v="2026-12-24T00:00:00"/>
    <x v="1"/>
    <s v="North"/>
    <s v="Lahore"/>
    <s v="Wholesale"/>
    <s v="Wholesale"/>
    <s v="Furniture"/>
    <x v="3"/>
    <s v="Bookshelf"/>
    <n v="7"/>
    <n v="93.81"/>
    <n v="0"/>
    <x v="187"/>
    <n v="341.47"/>
    <n v="315.2"/>
    <s v="Ayesha"/>
  </r>
  <r>
    <s v="ORD-1189"/>
    <x v="10"/>
    <s v="2025"/>
    <s v="Tuesday"/>
    <d v="2025-04-22T00:00:00"/>
    <x v="1"/>
    <s v="North"/>
    <s v="Lahore"/>
    <s v="Retail"/>
    <s v="Retail"/>
    <s v="Office Supplies"/>
    <x v="9"/>
    <s v="Printer Paper"/>
    <n v="4"/>
    <n v="12.08"/>
    <n v="0"/>
    <x v="188"/>
    <n v="18.36"/>
    <n v="29.96"/>
    <s v="Ali"/>
  </r>
  <r>
    <s v="ORD-1190"/>
    <x v="8"/>
    <s v="2026"/>
    <s v="Wednesday"/>
    <d v="2026-02-11T00:00:00"/>
    <x v="0"/>
    <s v="central"/>
    <s v="Faisalabad"/>
    <s v="Retail"/>
    <s v="Retail"/>
    <s v="Office Supplies"/>
    <x v="11"/>
    <s v="Desk Organizer"/>
    <n v="11"/>
    <n v="13.91"/>
    <n v="0.1"/>
    <x v="189"/>
    <n v="70.38"/>
    <n v="67.33"/>
    <s v="Ayesha"/>
  </r>
  <r>
    <s v="ORD-1191"/>
    <x v="11"/>
    <s v="2025"/>
    <s v="Wednesday"/>
    <d v="2025-01-15T00:00:00"/>
    <x v="0"/>
    <s v="central"/>
    <s v="Faisalabad"/>
    <s v="Online"/>
    <s v="Online"/>
    <s v="Office Supplies"/>
    <x v="6"/>
    <s v="Notebook Set"/>
    <n v="9"/>
    <n v="8.73"/>
    <n v="0"/>
    <x v="190"/>
    <n v="31.43"/>
    <n v="47.14"/>
    <s v="Zainab"/>
  </r>
  <r>
    <s v="ORD-1192"/>
    <x v="11"/>
    <s v="2026"/>
    <s v="Monday"/>
    <d v="2026-01-05T00:00:00"/>
    <x v="4"/>
    <s v="West"/>
    <s v="Peshawar"/>
    <s v="Retail"/>
    <s v="Retail"/>
    <s v="Furniture"/>
    <x v="3"/>
    <s v="Bookshelf"/>
    <n v="3"/>
    <n v="94.61"/>
    <n v="0.15"/>
    <x v="191"/>
    <n v="147.59"/>
    <n v="93.67"/>
    <s v="Ayesha"/>
  </r>
  <r>
    <s v="ORD-1193"/>
    <x v="2"/>
    <s v="2025"/>
    <s v="Tuesday"/>
    <d v="2025-08-26T00:00:00"/>
    <x v="4"/>
    <s v="West"/>
    <s v="Peshawar"/>
    <s v="Online"/>
    <s v="Online"/>
    <s v="Furniture"/>
    <x v="3"/>
    <s v="Bookshelf"/>
    <n v="4"/>
    <n v="94.08"/>
    <n v="0.05"/>
    <x v="192"/>
    <n v="195.69"/>
    <n v="161.81"/>
    <s v="Ayesha"/>
  </r>
  <r>
    <s v="ORD-1194"/>
    <x v="4"/>
    <s v="2026"/>
    <s v="Sunday"/>
    <d v="2026-12-06T00:00:00"/>
    <x v="1"/>
    <s v="North"/>
    <s v="Lahore"/>
    <s v="Online"/>
    <s v="Online"/>
    <s v="Electronics"/>
    <x v="10"/>
    <s v="Laptop Stand"/>
    <n v="9"/>
    <n v="21.82"/>
    <n v="0"/>
    <x v="193"/>
    <n v="98.19"/>
    <n v="98.19"/>
    <s v="Hamza"/>
  </r>
  <r>
    <s v="ORD-1195"/>
    <x v="1"/>
    <s v="2025"/>
    <s v="Wednesday"/>
    <d v="2025-11-12T00:00:00"/>
    <x v="4"/>
    <s v="West"/>
    <s v="Peshawar"/>
    <s v="Online"/>
    <s v="Online"/>
    <s v="Office Supplies"/>
    <x v="11"/>
    <s v="Desk Organizer"/>
    <n v="7"/>
    <n v="16.55"/>
    <n v="0.15"/>
    <x v="194"/>
    <n v="53.29"/>
    <n v="45.18"/>
    <s v="Hira"/>
  </r>
  <r>
    <s v="ORD-1196"/>
    <x v="1"/>
    <s v="2026"/>
    <s v="Wednesday"/>
    <d v="2026-11-04T00:00:00"/>
    <x v="0"/>
    <s v="central"/>
    <s v="Faisalabad"/>
    <s v="Online"/>
    <s v="Online"/>
    <s v="Office Supplies"/>
    <x v="11"/>
    <s v="Desk Organizer"/>
    <n v="4"/>
    <n v="13.12"/>
    <n v="0.15"/>
    <x v="195"/>
    <n v="24.14"/>
    <n v="20.47"/>
    <s v="Usman"/>
  </r>
  <r>
    <s v="ORD-1197"/>
    <x v="9"/>
    <s v="2025"/>
    <s v="Friday"/>
    <d v="2025-10-10T00:00:00"/>
    <x v="4"/>
    <s v="West"/>
    <s v="Peshawar"/>
    <s v="Online"/>
    <s v="Online"/>
    <s v="Office Supplies"/>
    <x v="6"/>
    <s v="Notebook Set"/>
    <n v="10"/>
    <n v="6.61"/>
    <n v="0"/>
    <x v="196"/>
    <n v="26.44"/>
    <n v="39.659999999999997"/>
    <s v="Ali"/>
  </r>
  <r>
    <s v="ORD-1198"/>
    <x v="5"/>
    <s v="2026"/>
    <s v="Tuesday"/>
    <d v="2026-05-26T00:00:00"/>
    <x v="2"/>
    <s v="South"/>
    <s v="Karachi"/>
    <s v="Online"/>
    <s v="Online"/>
    <s v="Furniture"/>
    <x v="5"/>
    <s v="Standing Desk"/>
    <n v="6"/>
    <n v="261.13"/>
    <n v="0"/>
    <x v="197"/>
    <n v="940.07"/>
    <n v="626.71"/>
    <s v="Hira"/>
  </r>
  <r>
    <s v="ORD-1199"/>
    <x v="5"/>
    <s v="2025"/>
    <s v="Friday"/>
    <d v="2025-05-23T00:00:00"/>
    <x v="1"/>
    <s v="North"/>
    <s v="Lahore"/>
    <s v="Online"/>
    <s v="Online"/>
    <s v="Office Supplies"/>
    <x v="6"/>
    <s v="Notebook Set"/>
    <n v="7"/>
    <n v="6.35"/>
    <n v="0"/>
    <x v="198"/>
    <n v="17.78"/>
    <n v="26.67"/>
    <s v="Zainab"/>
  </r>
  <r>
    <s v="ORD-1200"/>
    <x v="5"/>
    <s v="2026"/>
    <s v="Friday"/>
    <d v="2026-05-01T00:00:00"/>
    <x v="0"/>
    <s v="central"/>
    <s v="Faisalabad"/>
    <s v="Corporate"/>
    <s v="Corporate"/>
    <s v="Furniture"/>
    <x v="4"/>
    <s v="Ergonomic Chair"/>
    <n v="1"/>
    <n v="138.49"/>
    <n v="0.05"/>
    <x v="199"/>
    <n v="80.319999999999993"/>
    <n v="51.25"/>
    <s v="Hamza"/>
  </r>
  <r>
    <s v="ORD-1201"/>
    <x v="0"/>
    <s v="2025"/>
    <s v="Thursday"/>
    <d v="2025-06-19T00:00:00"/>
    <x v="4"/>
    <s v="West"/>
    <s v="Peshawar"/>
    <s v="Wholesale"/>
    <s v="Wholesale"/>
    <s v="Accessories"/>
    <x v="1"/>
    <s v="Water Bottle"/>
    <n v="9"/>
    <n v="8.31"/>
    <n v="0.15"/>
    <x v="200"/>
    <n v="32.159999999999997"/>
    <n v="31.41"/>
    <s v="Hamza"/>
  </r>
  <r>
    <s v="ORD-1202"/>
    <x v="1"/>
    <s v="2026"/>
    <s v="Saturday"/>
    <d v="2026-11-21T00:00:00"/>
    <x v="2"/>
    <s v="South"/>
    <s v="Karachi"/>
    <s v="Corporate"/>
    <s v="Corporate"/>
    <s v="Electronics"/>
    <x v="0"/>
    <s v="wireless mouse"/>
    <n v="3"/>
    <n v="17.739999999999998"/>
    <n v="0.1"/>
    <x v="201"/>
    <n v="25.55"/>
    <n v="22.35"/>
    <s v="Ali"/>
  </r>
  <r>
    <s v="ORD-1203"/>
    <x v="1"/>
    <s v="2025"/>
    <s v="Monday"/>
    <d v="2025-11-17T00:00:00"/>
    <x v="0"/>
    <s v="central"/>
    <s v="Faisalabad"/>
    <s v="Wholesale"/>
    <s v="Wholesale"/>
    <s v="Office Supplies"/>
    <x v="11"/>
    <s v="Desk Organizer"/>
    <n v="5"/>
    <n v="13.84"/>
    <n v="0.1"/>
    <x v="202"/>
    <n v="31.83"/>
    <n v="30.45"/>
    <s v="Ayesha"/>
  </r>
  <r>
    <s v="ORD-1204"/>
    <x v="3"/>
    <s v="2026"/>
    <s v="Monday"/>
    <d v="2026-03-23T00:00:00"/>
    <x v="0"/>
    <s v="central"/>
    <s v="Faisalabad"/>
    <s v="Retail"/>
    <s v="Retail"/>
    <s v="Accessories"/>
    <x v="1"/>
    <s v="Water Bottle"/>
    <n v="11"/>
    <n v="11.6"/>
    <n v="0"/>
    <x v="203"/>
    <n v="54.87"/>
    <n v="72.73"/>
    <s v="Hamza"/>
  </r>
  <r>
    <s v="ORD-1205"/>
    <x v="0"/>
    <s v="2025"/>
    <s v="Tuesday"/>
    <d v="2025-06-10T00:00:00"/>
    <x v="2"/>
    <s v="South"/>
    <s v="Karachi"/>
    <s v="Retail"/>
    <s v="Retail"/>
    <s v="Accessories"/>
    <x v="7"/>
    <s v="Laptop Sleeve"/>
    <n v="11"/>
    <n v="20.23"/>
    <n v="0.1"/>
    <x v="204"/>
    <n v="109.04"/>
    <n v="91.24"/>
    <s v="Hamza"/>
  </r>
  <r>
    <s v="ORD-1206"/>
    <x v="5"/>
    <s v="2026"/>
    <s v="Monday"/>
    <d v="2026-05-11T00:00:00"/>
    <x v="4"/>
    <s v="West"/>
    <s v="Peshawar"/>
    <s v="Online"/>
    <s v="Online"/>
    <s v="Accessories"/>
    <x v="2"/>
    <s v="Keyboard Cover"/>
    <n v="12"/>
    <n v="10.09"/>
    <n v="0.1"/>
    <x v="205"/>
    <n v="49.64"/>
    <n v="59.33"/>
    <s v="Hamza"/>
  </r>
  <r>
    <s v="ORD-1207"/>
    <x v="11"/>
    <s v="2025"/>
    <s v="Tuesday"/>
    <d v="2025-01-14T00:00:00"/>
    <x v="0"/>
    <s v="central"/>
    <s v="Faisalabad"/>
    <s v="Online"/>
    <s v="Online"/>
    <s v="Accessories"/>
    <x v="2"/>
    <s v="Keyboard Cover"/>
    <n v="2"/>
    <n v="10.039999999999999"/>
    <n v="0"/>
    <x v="206"/>
    <n v="8.23"/>
    <n v="11.85"/>
    <s v="Hira"/>
  </r>
  <r>
    <s v="ORD-1208"/>
    <x v="10"/>
    <s v="2026"/>
    <s v="Sunday"/>
    <d v="2026-04-12T00:00:00"/>
    <x v="2"/>
    <s v="South"/>
    <s v="Karachi"/>
    <s v="Online"/>
    <s v="Online"/>
    <s v="Accessories"/>
    <x v="7"/>
    <s v="Laptop Sleeve"/>
    <n v="5"/>
    <n v="21.64"/>
    <n v="0"/>
    <x v="207"/>
    <n v="53.02"/>
    <n v="55.18"/>
    <s v="Ayesha"/>
  </r>
  <r>
    <s v="ORD-1209"/>
    <x v="0"/>
    <s v="2025"/>
    <s v="Tuesday"/>
    <d v="2025-06-03T00:00:00"/>
    <x v="0"/>
    <s v="central"/>
    <s v="Faisalabad"/>
    <s v="Retail"/>
    <s v="Retail"/>
    <s v="Accessories"/>
    <x v="2"/>
    <s v="Keyboard Cover"/>
    <n v="6"/>
    <n v="13.97"/>
    <n v="0.15"/>
    <x v="208"/>
    <n v="34.369999999999997"/>
    <n v="36.880000000000003"/>
    <s v="Ayesha"/>
  </r>
  <r>
    <s v="ORD-1210"/>
    <x v="3"/>
    <s v="2026"/>
    <s v="Monday"/>
    <d v="2026-03-09T00:00:00"/>
    <x v="3"/>
    <s v="East"/>
    <s v="Islamabad"/>
    <s v="Retail"/>
    <s v="Retail"/>
    <s v="Accessories"/>
    <x v="7"/>
    <s v="Laptop Sleeve"/>
    <n v="1"/>
    <n v="21.13"/>
    <n v="0.1"/>
    <x v="209"/>
    <n v="10.35"/>
    <n v="8.67"/>
    <s v="Hira"/>
  </r>
  <r>
    <s v="ORD-1211"/>
    <x v="10"/>
    <s v="2025"/>
    <s v="Saturday"/>
    <d v="2025-04-19T00:00:00"/>
    <x v="2"/>
    <s v="South"/>
    <s v="Karachi"/>
    <s v="Online"/>
    <s v="Online"/>
    <s v="Office Supplies"/>
    <x v="11"/>
    <s v="Desk Organizer"/>
    <n v="9"/>
    <n v="13.59"/>
    <n v="0.05"/>
    <x v="210"/>
    <n v="56.26"/>
    <n v="59.93"/>
    <s v="Usman"/>
  </r>
  <r>
    <s v="ORD-1212"/>
    <x v="9"/>
    <s v="2026"/>
    <s v="Saturday"/>
    <d v="2026-10-17T00:00:00"/>
    <x v="2"/>
    <s v="South"/>
    <s v="Karachi"/>
    <s v="Online"/>
    <s v="Online"/>
    <s v="Office Supplies"/>
    <x v="6"/>
    <s v="Notebook Set"/>
    <n v="9"/>
    <n v="8.57"/>
    <n v="0.05"/>
    <x v="211"/>
    <n v="30.85"/>
    <n v="42.42"/>
    <s v="Hamza"/>
  </r>
  <r>
    <s v="ORD-1213"/>
    <x v="5"/>
    <s v="2025"/>
    <s v="Saturday"/>
    <d v="2025-05-17T00:00:00"/>
    <x v="3"/>
    <s v="East"/>
    <s v="Islamabad"/>
    <s v="Wholesale"/>
    <s v="Wholesale"/>
    <s v="Office Supplies"/>
    <x v="11"/>
    <s v="Desk Organizer"/>
    <n v="9"/>
    <n v="14.74"/>
    <n v="0.05"/>
    <x v="212"/>
    <n v="61.02"/>
    <n v="65.010000000000005"/>
    <s v="Usman"/>
  </r>
  <r>
    <s v="ORD-1214"/>
    <x v="1"/>
    <s v="2026"/>
    <s v="Tuesday"/>
    <d v="2026-11-03T00:00:00"/>
    <x v="2"/>
    <s v="South"/>
    <s v="Karachi"/>
    <s v="Online"/>
    <s v="Online"/>
    <s v="Office Supplies"/>
    <x v="6"/>
    <s v="Notebook Set"/>
    <n v="8"/>
    <n v="9.73"/>
    <n v="0.15"/>
    <x v="213"/>
    <n v="31.14"/>
    <n v="35.020000000000003"/>
    <s v="Hira"/>
  </r>
  <r>
    <s v="ORD-1215"/>
    <x v="4"/>
    <s v="2025"/>
    <s v="Sunday"/>
    <d v="2025-12-07T00:00:00"/>
    <x v="4"/>
    <s v="West"/>
    <s v="Peshawar"/>
    <s v="Wholesale"/>
    <s v="Wholesale"/>
    <s v="Electronics"/>
    <x v="8"/>
    <s v="USB-C Hub"/>
    <n v="1"/>
    <n v="26.81"/>
    <n v="0.15"/>
    <x v="214"/>
    <n v="14.75"/>
    <n v="8.0399999999999991"/>
    <s v="Hamza"/>
  </r>
  <r>
    <s v="ORD-1216"/>
    <x v="5"/>
    <s v="2026"/>
    <s v="Saturday"/>
    <d v="2026-05-09T00:00:00"/>
    <x v="2"/>
    <s v="South"/>
    <s v="Karachi"/>
    <s v="Wholesale"/>
    <s v="Wholesale"/>
    <s v="Office Supplies"/>
    <x v="6"/>
    <s v="Notebook Set"/>
    <n v="11"/>
    <n v="8.2799999999999994"/>
    <n v="0.15"/>
    <x v="146"/>
    <n v="36.43"/>
    <n v="40.99"/>
    <s v="Hamza"/>
  </r>
  <r>
    <s v="ORD-1217"/>
    <x v="6"/>
    <s v="2025"/>
    <s v="Friday"/>
    <d v="2025-09-05T00:00:00"/>
    <x v="0"/>
    <s v="central"/>
    <s v="Faisalabad"/>
    <s v="Corporate"/>
    <s v="Corporate"/>
    <s v="Office Supplies"/>
    <x v="11"/>
    <s v="Desk Organizer"/>
    <n v="5"/>
    <n v="16.36"/>
    <n v="0"/>
    <x v="215"/>
    <n v="37.630000000000003"/>
    <n v="44.17"/>
    <s v="Ayesha"/>
  </r>
  <r>
    <s v="ORD-1218"/>
    <x v="8"/>
    <s v="2026"/>
    <s v="Tuesday"/>
    <d v="2026-02-17T00:00:00"/>
    <x v="1"/>
    <s v="North"/>
    <s v="Lahore"/>
    <s v="Corporate"/>
    <s v="Corporate"/>
    <s v="Accessories"/>
    <x v="7"/>
    <s v="Laptop Sleeve"/>
    <n v="2"/>
    <n v="18.87"/>
    <n v="0"/>
    <x v="216"/>
    <n v="18.489999999999998"/>
    <n v="19.25"/>
    <s v="Hira"/>
  </r>
  <r>
    <s v="ORD-1219"/>
    <x v="2"/>
    <s v="2025"/>
    <s v="Sunday"/>
    <d v="2025-08-24T00:00:00"/>
    <x v="0"/>
    <s v="central"/>
    <s v="Faisalabad"/>
    <s v="Retail"/>
    <s v="Retail"/>
    <s v="Electronics"/>
    <x v="0"/>
    <s v="wireless mouse"/>
    <n v="7"/>
    <n v="16.3"/>
    <n v="0.15"/>
    <x v="217"/>
    <n v="54.77"/>
    <n v="42.22"/>
    <s v="Zainab"/>
  </r>
  <r>
    <s v="ORD-1220"/>
    <x v="4"/>
    <s v="2026"/>
    <s v="Tuesday"/>
    <d v="2026-12-15T00:00:00"/>
    <x v="4"/>
    <s v="West"/>
    <s v="Peshawar"/>
    <s v="Retail"/>
    <s v="Retail"/>
    <s v="Furniture"/>
    <x v="3"/>
    <s v="Bookshelf"/>
    <n v="11"/>
    <n v="93.48"/>
    <n v="0.05"/>
    <x v="218"/>
    <n v="534.71"/>
    <n v="442.16"/>
    <s v="Ayesha"/>
  </r>
  <r>
    <s v="ORD-1221"/>
    <x v="1"/>
    <s v="2025"/>
    <s v="Thursday"/>
    <d v="2025-11-27T00:00:00"/>
    <x v="2"/>
    <s v="South"/>
    <s v="Karachi"/>
    <s v="Wholesale"/>
    <s v="Wholesale"/>
    <s v="Office Supplies"/>
    <x v="6"/>
    <s v="Notebook Set"/>
    <n v="8"/>
    <n v="9.61"/>
    <n v="0"/>
    <x v="219"/>
    <n v="30.75"/>
    <n v="46.13"/>
    <s v="Zainab"/>
  </r>
  <r>
    <s v="ORD-1222"/>
    <x v="7"/>
    <s v="2026"/>
    <s v="Tuesday"/>
    <d v="2026-07-14T00:00:00"/>
    <x v="2"/>
    <s v="South"/>
    <s v="Karachi"/>
    <s v="Retail"/>
    <s v="Retail"/>
    <s v="Accessories"/>
    <x v="2"/>
    <s v="Keyboard Cover"/>
    <n v="9"/>
    <n v="13.47"/>
    <n v="0"/>
    <x v="220"/>
    <n v="49.7"/>
    <n v="71.53"/>
    <s v="Usman"/>
  </r>
  <r>
    <s v="ORD-1223"/>
    <x v="4"/>
    <s v="2025"/>
    <s v="Wednesday"/>
    <d v="2025-12-24T00:00:00"/>
    <x v="1"/>
    <s v="North"/>
    <s v="Lahore"/>
    <s v="Retail"/>
    <s v="Retail"/>
    <s v="Furniture"/>
    <x v="3"/>
    <s v="Bookshelf"/>
    <n v="3"/>
    <n v="95.78"/>
    <n v="0"/>
    <x v="221"/>
    <n v="149.41999999999999"/>
    <n v="137.91999999999999"/>
    <s v="Usman"/>
  </r>
  <r>
    <s v="ORD-1224"/>
    <x v="5"/>
    <s v="2026"/>
    <s v="Wednesday"/>
    <d v="2026-05-06T00:00:00"/>
    <x v="4"/>
    <s v="West"/>
    <s v="Peshawar"/>
    <s v="Wholesale"/>
    <s v="Wholesale"/>
    <s v="Accessories"/>
    <x v="1"/>
    <s v="Water Bottle"/>
    <n v="10"/>
    <n v="9.48"/>
    <n v="0.15"/>
    <x v="222"/>
    <n v="40.76"/>
    <n v="39.82"/>
    <s v="Ayesha"/>
  </r>
  <r>
    <s v="ORD-1225"/>
    <x v="5"/>
    <s v="2025"/>
    <s v="Saturday"/>
    <d v="2025-05-03T00:00:00"/>
    <x v="2"/>
    <s v="South"/>
    <s v="Karachi"/>
    <s v="Online"/>
    <s v="Online"/>
    <s v="Furniture"/>
    <x v="5"/>
    <s v="Standing Desk"/>
    <n v="4"/>
    <n v="258.83999999999997"/>
    <n v="0"/>
    <x v="223"/>
    <n v="621.22"/>
    <n v="414.14"/>
    <s v="Usman"/>
  </r>
  <r>
    <s v="ORD-1226"/>
    <x v="8"/>
    <s v="2026"/>
    <s v="Friday"/>
    <d v="2026-02-06T00:00:00"/>
    <x v="2"/>
    <s v="South"/>
    <s v="Karachi"/>
    <s v="Wholesale"/>
    <s v="Wholesale"/>
    <s v="Electronics"/>
    <x v="10"/>
    <s v="Laptop Stand"/>
    <n v="1"/>
    <n v="21.35"/>
    <n v="0.15"/>
    <x v="224"/>
    <n v="10.68"/>
    <n v="7.47"/>
    <s v="Zainab"/>
  </r>
  <r>
    <s v="ORD-1227"/>
    <x v="7"/>
    <s v="2025"/>
    <s v="Monday"/>
    <d v="2025-07-28T00:00:00"/>
    <x v="4"/>
    <s v="West"/>
    <s v="Peshawar"/>
    <s v="Online"/>
    <s v="Online"/>
    <s v="Furniture"/>
    <x v="4"/>
    <s v="Ergonomic Chair"/>
    <n v="2"/>
    <n v="138.57"/>
    <n v="0.15"/>
    <x v="225"/>
    <n v="160.74"/>
    <n v="74.83"/>
    <s v="Hira"/>
  </r>
  <r>
    <s v="ORD-1228"/>
    <x v="6"/>
    <s v="2026"/>
    <s v="Monday"/>
    <d v="2026-09-14T00:00:00"/>
    <x v="0"/>
    <s v="central"/>
    <s v="Faisalabad"/>
    <s v="Corporate"/>
    <s v="Corporate"/>
    <s v="Electronics"/>
    <x v="8"/>
    <s v="USB-C Hub"/>
    <n v="3"/>
    <n v="24.27"/>
    <n v="0.05"/>
    <x v="226"/>
    <n v="40.049999999999997"/>
    <n v="29.12"/>
    <s v="Zainab"/>
  </r>
  <r>
    <s v="ORD-1229"/>
    <x v="0"/>
    <s v="2025"/>
    <s v="Saturday"/>
    <d v="2025-06-14T00:00:00"/>
    <x v="4"/>
    <s v="West"/>
    <s v="Peshawar"/>
    <s v="Wholesale"/>
    <s v="Wholesale"/>
    <s v="Furniture"/>
    <x v="3"/>
    <s v="Bookshelf"/>
    <n v="2"/>
    <n v="95.88"/>
    <n v="0"/>
    <x v="227"/>
    <n v="99.72"/>
    <n v="92.04"/>
    <s v="Ayesha"/>
  </r>
  <r>
    <s v="ORD-1230"/>
    <x v="1"/>
    <s v="2026"/>
    <s v="Monday"/>
    <d v="2026-11-02T00:00:00"/>
    <x v="4"/>
    <s v="West"/>
    <s v="Peshawar"/>
    <s v="Wholesale"/>
    <s v="Wholesale"/>
    <s v="Office Supplies"/>
    <x v="6"/>
    <s v="Notebook Set"/>
    <n v="2"/>
    <n v="8.11"/>
    <n v="0.1"/>
    <x v="228"/>
    <n v="6.49"/>
    <n v="8.11"/>
    <s v="Ali"/>
  </r>
  <r>
    <s v="ORD-1231"/>
    <x v="1"/>
    <s v="2025"/>
    <s v="Monday"/>
    <d v="2025-11-03T00:00:00"/>
    <x v="1"/>
    <s v="North"/>
    <s v="Lahore"/>
    <s v="Retail"/>
    <s v="Retail"/>
    <s v="Accessories"/>
    <x v="2"/>
    <s v="Keyboard Cover"/>
    <n v="8"/>
    <n v="11.81"/>
    <n v="0"/>
    <x v="229"/>
    <n v="38.74"/>
    <n v="55.74"/>
    <s v="Ali"/>
  </r>
  <r>
    <s v="ORD-1232"/>
    <x v="9"/>
    <s v="2026"/>
    <s v="Thursday"/>
    <d v="2026-10-01T00:00:00"/>
    <x v="2"/>
    <s v="South"/>
    <s v="Karachi"/>
    <s v="Online"/>
    <s v="Online"/>
    <s v="Furniture"/>
    <x v="5"/>
    <s v="Standing Desk"/>
    <n v="9"/>
    <n v="258.68"/>
    <n v="0.05"/>
    <x v="230"/>
    <n v="1396.87"/>
    <n v="814.84"/>
    <s v="Hira"/>
  </r>
  <r>
    <s v="ORD-1233"/>
    <x v="6"/>
    <s v="2025"/>
    <s v="Thursday"/>
    <d v="2025-09-25T00:00:00"/>
    <x v="2"/>
    <s v="South"/>
    <s v="Karachi"/>
    <s v="Wholesale"/>
    <s v="Wholesale"/>
    <s v="Office Supplies"/>
    <x v="11"/>
    <s v="Desk Organizer"/>
    <n v="5"/>
    <n v="13.1"/>
    <n v="0.1"/>
    <x v="231"/>
    <n v="30.13"/>
    <n v="28.82"/>
    <s v="Ayesha"/>
  </r>
  <r>
    <s v="ORD-1234"/>
    <x v="1"/>
    <s v="2026"/>
    <s v="Wednesday"/>
    <d v="2026-11-11T00:00:00"/>
    <x v="2"/>
    <s v="South"/>
    <s v="Karachi"/>
    <s v="Retail"/>
    <s v="Retail"/>
    <s v="Office Supplies"/>
    <x v="11"/>
    <s v="Desk Organizer"/>
    <n v="8"/>
    <n v="13.22"/>
    <n v="0.1"/>
    <x v="232"/>
    <n v="48.65"/>
    <n v="46.53"/>
    <s v="Usman"/>
  </r>
  <r>
    <s v="ORD-1235"/>
    <x v="9"/>
    <s v="2025"/>
    <s v="Monday"/>
    <d v="2025-10-27T00:00:00"/>
    <x v="4"/>
    <s v="West"/>
    <s v="Peshawar"/>
    <s v="Retail"/>
    <s v="Retail"/>
    <s v="Accessories"/>
    <x v="7"/>
    <s v="Laptop Sleeve"/>
    <n v="6"/>
    <n v="20.12"/>
    <n v="0.15"/>
    <x v="233"/>
    <n v="59.15"/>
    <n v="43.46"/>
    <s v="Ali"/>
  </r>
  <r>
    <s v="ORD-1236"/>
    <x v="9"/>
    <s v="2026"/>
    <s v="Monday"/>
    <d v="2026-10-05T00:00:00"/>
    <x v="4"/>
    <s v="West"/>
    <s v="Peshawar"/>
    <s v="Online"/>
    <s v="Online"/>
    <s v="Electronics"/>
    <x v="10"/>
    <s v="Laptop Stand"/>
    <n v="3"/>
    <n v="21.97"/>
    <n v="0.05"/>
    <x v="234"/>
    <n v="32.96"/>
    <n v="29.65"/>
    <s v="Ayesha"/>
  </r>
  <r>
    <s v="ORD-1237"/>
    <x v="6"/>
    <s v="2025"/>
    <s v="Monday"/>
    <d v="2025-09-08T00:00:00"/>
    <x v="1"/>
    <s v="North"/>
    <s v="Lahore"/>
    <s v="Online"/>
    <s v="Online"/>
    <s v="Office Supplies"/>
    <x v="9"/>
    <s v="Printer Paper"/>
    <n v="3"/>
    <n v="13.51"/>
    <n v="0.15"/>
    <x v="235"/>
    <n v="15.4"/>
    <n v="19.05"/>
    <s v="Usman"/>
  </r>
  <r>
    <s v="ORD-1238"/>
    <x v="7"/>
    <s v="2026"/>
    <s v="Sunday"/>
    <d v="2026-07-05T00:00:00"/>
    <x v="1"/>
    <s v="North"/>
    <s v="Lahore"/>
    <s v="Online"/>
    <s v="Online"/>
    <s v="Furniture"/>
    <x v="3"/>
    <s v="Bookshelf"/>
    <n v="2"/>
    <n v="94.14"/>
    <n v="0.15"/>
    <x v="236"/>
    <n v="97.91"/>
    <n v="62.13"/>
    <s v="Ayesha"/>
  </r>
  <r>
    <s v="ORD-1239"/>
    <x v="10"/>
    <s v="2025"/>
    <s v="Wednesday"/>
    <d v="2025-04-16T00:00:00"/>
    <x v="2"/>
    <s v="South"/>
    <s v="Karachi"/>
    <s v="Corporate"/>
    <s v="Corporate"/>
    <s v="Accessories"/>
    <x v="7"/>
    <s v="Laptop Sleeve"/>
    <n v="7"/>
    <n v="20.47"/>
    <n v="0.15"/>
    <x v="237"/>
    <n v="70.209999999999994"/>
    <n v="51.59"/>
    <s v="Usman"/>
  </r>
  <r>
    <s v="ORD-1240"/>
    <x v="8"/>
    <s v="2026"/>
    <s v="Monday"/>
    <d v="2026-02-02T00:00:00"/>
    <x v="3"/>
    <s v="East"/>
    <s v="Islamabad"/>
    <s v="Corporate"/>
    <s v="Corporate"/>
    <s v="Accessories"/>
    <x v="2"/>
    <s v="Keyboard Cover"/>
    <n v="7"/>
    <n v="11.74"/>
    <n v="0.1"/>
    <x v="238"/>
    <n v="33.69"/>
    <n v="40.270000000000003"/>
    <s v="Ali"/>
  </r>
  <r>
    <s v="ORD-1241"/>
    <x v="7"/>
    <s v="2025"/>
    <s v="Thursday"/>
    <d v="2025-07-24T00:00:00"/>
    <x v="3"/>
    <s v="East"/>
    <s v="Islamabad"/>
    <s v="Online"/>
    <s v="Online"/>
    <s v="Electronics"/>
    <x v="10"/>
    <s v="Laptop Stand"/>
    <n v="3"/>
    <n v="23.8"/>
    <n v="0"/>
    <x v="239"/>
    <n v="35.700000000000003"/>
    <n v="35.700000000000003"/>
    <s v="Ali"/>
  </r>
  <r>
    <s v="ORD-1242"/>
    <x v="11"/>
    <s v="2026"/>
    <s v="Friday"/>
    <d v="2026-01-16T00:00:00"/>
    <x v="1"/>
    <s v="North"/>
    <s v="Lahore"/>
    <s v="Retail"/>
    <s v="Retail"/>
    <s v="Furniture"/>
    <x v="4"/>
    <s v="Ergonomic Chair"/>
    <n v="3"/>
    <n v="139.49"/>
    <n v="0.1"/>
    <x v="240"/>
    <n v="242.71"/>
    <n v="133.91"/>
    <s v="Ali"/>
  </r>
  <r>
    <s v="ORD-1243"/>
    <x v="8"/>
    <s v="2025"/>
    <s v="Monday"/>
    <d v="2025-02-24T00:00:00"/>
    <x v="1"/>
    <s v="North"/>
    <s v="Lahore"/>
    <s v="Online"/>
    <s v="Online"/>
    <s v="Furniture"/>
    <x v="3"/>
    <s v="Bookshelf"/>
    <n v="8"/>
    <n v="95.07"/>
    <n v="0.15"/>
    <x v="241"/>
    <n v="395.49"/>
    <n v="250.99"/>
    <s v="Hira"/>
  </r>
  <r>
    <s v="ORD-1244"/>
    <x v="2"/>
    <s v="2026"/>
    <s v="Wednesday"/>
    <d v="2026-08-26T00:00:00"/>
    <x v="4"/>
    <s v="West"/>
    <s v="Peshawar"/>
    <s v="Wholesale"/>
    <s v="Wholesale"/>
    <s v="Electronics"/>
    <x v="8"/>
    <s v="USB-C Hub"/>
    <n v="11"/>
    <n v="26.27"/>
    <n v="0"/>
    <x v="242"/>
    <n v="158.93"/>
    <n v="130.04"/>
    <s v="Hira"/>
  </r>
  <r>
    <s v="ORD-1245"/>
    <x v="11"/>
    <s v="2025"/>
    <s v="Friday"/>
    <d v="2025-01-17T00:00:00"/>
    <x v="0"/>
    <s v="central"/>
    <s v="Karachi"/>
    <s v="Corporate"/>
    <s v="Corporate"/>
    <s v="Accessories"/>
    <x v="1"/>
    <s v="Water Bottle"/>
    <n v="6"/>
    <n v="10.37"/>
    <n v="0.05"/>
    <x v="243"/>
    <n v="26.75"/>
    <n v="32.36"/>
    <s v="Ayesha"/>
  </r>
  <r>
    <s v="ORD-1246"/>
    <x v="8"/>
    <s v="2026"/>
    <s v="Thursday"/>
    <d v="2026-02-12T00:00:00"/>
    <x v="4"/>
    <s v="West"/>
    <s v="Peshawar"/>
    <s v="Retail"/>
    <s v="Retail"/>
    <s v="Accessories"/>
    <x v="1"/>
    <s v="Water Bottle"/>
    <n v="4"/>
    <n v="9.8699999999999992"/>
    <n v="0.05"/>
    <x v="244"/>
    <n v="16.98"/>
    <n v="20.53"/>
    <s v="Zainab"/>
  </r>
  <r>
    <s v="ORD-1247"/>
    <x v="2"/>
    <s v="2025"/>
    <s v="Wednesday"/>
    <d v="2025-08-20T00:00:00"/>
    <x v="2"/>
    <s v="South"/>
    <s v="Karachi"/>
    <s v="Wholesale"/>
    <s v="Wholesale"/>
    <s v="Office Supplies"/>
    <x v="11"/>
    <s v="Desk Organizer"/>
    <n v="7"/>
    <n v="14.69"/>
    <n v="0.1"/>
    <x v="245"/>
    <n v="47.3"/>
    <n v="45.25"/>
    <s v="Zainab"/>
  </r>
  <r>
    <s v="ORD-1248"/>
    <x v="4"/>
    <s v="2026"/>
    <s v="Saturday"/>
    <d v="2026-12-12T00:00:00"/>
    <x v="2"/>
    <s v="South"/>
    <s v="Karachi"/>
    <s v="Retail"/>
    <s v="Retail"/>
    <s v="Electronics"/>
    <x v="8"/>
    <s v="USB-C Hub"/>
    <n v="10"/>
    <n v="24.59"/>
    <n v="0"/>
    <x v="246"/>
    <n v="135.25"/>
    <n v="110.65"/>
    <s v="Usman"/>
  </r>
  <r>
    <s v="ORD-1249"/>
    <x v="3"/>
    <s v="2025"/>
    <s v="Thursday"/>
    <d v="2025-03-06T00:00:00"/>
    <x v="3"/>
    <s v="East"/>
    <s v="Islamabad"/>
    <s v="Wholesale"/>
    <s v="Wholesale"/>
    <s v="Electronics"/>
    <x v="10"/>
    <s v="Laptop Stand"/>
    <n v="8"/>
    <n v="20.98"/>
    <n v="0.15"/>
    <x v="247"/>
    <n v="83.92"/>
    <n v="58.74"/>
    <s v="Ayesha"/>
  </r>
  <r>
    <s v="ORD-1250"/>
    <x v="8"/>
    <s v="2026"/>
    <s v="Monday"/>
    <d v="2026-02-09T00:00:00"/>
    <x v="4"/>
    <s v="West"/>
    <s v="Peshawar"/>
    <s v="Online"/>
    <s v="Online"/>
    <s v="Accessories"/>
    <x v="1"/>
    <s v="Water Bottle"/>
    <n v="2"/>
    <n v="11.09"/>
    <n v="0.15"/>
    <x v="248"/>
    <n v="9.5399999999999991"/>
    <n v="9.31"/>
    <s v="Hamza"/>
  </r>
  <r>
    <s v="ORD-1251"/>
    <x v="11"/>
    <s v="2025"/>
    <s v="Sunday"/>
    <d v="2025-01-12T00:00:00"/>
    <x v="3"/>
    <s v="East"/>
    <s v="Islamabad"/>
    <s v="Wholesale"/>
    <s v="Wholesale"/>
    <s v="Office Supplies"/>
    <x v="9"/>
    <s v="Printer Paper"/>
    <n v="3"/>
    <n v="10.85"/>
    <n v="0.05"/>
    <x v="249"/>
    <n v="12.37"/>
    <n v="18.55"/>
    <s v="Ali"/>
  </r>
  <r>
    <s v="ORD-1252"/>
    <x v="5"/>
    <s v="2026"/>
    <s v="Thursday"/>
    <d v="2026-05-21T00:00:00"/>
    <x v="1"/>
    <s v="North"/>
    <s v="Lahore"/>
    <s v="Online"/>
    <s v="Online"/>
    <s v="Accessories"/>
    <x v="7"/>
    <s v="Laptop Sleeve"/>
    <n v="3"/>
    <n v="21.3"/>
    <n v="0.05"/>
    <x v="250"/>
    <n v="31.31"/>
    <n v="29.4"/>
    <s v="Hira"/>
  </r>
  <r>
    <s v="ORD-1253"/>
    <x v="0"/>
    <s v="2025"/>
    <s v="Thursday"/>
    <d v="2025-06-19T00:00:00"/>
    <x v="4"/>
    <s v="West"/>
    <s v="Peshawar"/>
    <s v="Corporate"/>
    <s v="Corporate"/>
    <s v="Furniture"/>
    <x v="5"/>
    <s v="Standing Desk"/>
    <n v="4"/>
    <n v="258.38"/>
    <n v="0"/>
    <x v="251"/>
    <n v="620.11"/>
    <n v="413.41"/>
    <s v="Hira"/>
  </r>
  <r>
    <s v="ORD-1254"/>
    <x v="9"/>
    <s v="2026"/>
    <s v="Thursday"/>
    <d v="2026-10-22T00:00:00"/>
    <x v="2"/>
    <s v="South"/>
    <s v="Karachi"/>
    <s v="Wholesale"/>
    <s v="Wholesale"/>
    <s v="Furniture"/>
    <x v="5"/>
    <s v="Standing Desk"/>
    <n v="5"/>
    <n v="260.52"/>
    <n v="0.15"/>
    <x v="252"/>
    <n v="781.56"/>
    <n v="325.64999999999998"/>
    <s v="Ayesha"/>
  </r>
  <r>
    <s v="ORD-1255"/>
    <x v="3"/>
    <s v="2025"/>
    <s v="Tuesday"/>
    <d v="2025-03-18T00:00:00"/>
    <x v="0"/>
    <s v="central"/>
    <s v="Faisalabad"/>
    <s v="Wholesale"/>
    <s v="Wholesale"/>
    <s v="Accessories"/>
    <x v="7"/>
    <s v="Laptop Sleeve"/>
    <n v="11"/>
    <n v="21.85"/>
    <n v="0.1"/>
    <x v="253"/>
    <n v="117.77"/>
    <n v="98.55"/>
    <s v="Hira"/>
  </r>
  <r>
    <s v="ORD-1256"/>
    <x v="0"/>
    <s v="2026"/>
    <s v="Thursday"/>
    <d v="2026-06-25T00:00:00"/>
    <x v="3"/>
    <s v="East"/>
    <s v="Islamabad"/>
    <s v="Retail"/>
    <s v="Retail"/>
    <s v="Accessories"/>
    <x v="7"/>
    <s v="Laptop Sleeve"/>
    <n v="5"/>
    <n v="20.38"/>
    <n v="0.15"/>
    <x v="254"/>
    <n v="49.93"/>
    <n v="36.69"/>
    <s v="Zainab"/>
  </r>
  <r>
    <s v="ORD-1257"/>
    <x v="7"/>
    <s v="2025"/>
    <s v="Thursday"/>
    <d v="2025-07-10T00:00:00"/>
    <x v="1"/>
    <s v="North"/>
    <s v="Lahore"/>
    <s v="Online"/>
    <s v="Online"/>
    <s v="Accessories"/>
    <x v="1"/>
    <s v="Water Bottle"/>
    <n v="6"/>
    <n v="10.38"/>
    <n v="0.1"/>
    <x v="255"/>
    <n v="26.78"/>
    <n v="29.27"/>
    <s v="Ayesha"/>
  </r>
  <r>
    <s v="ORD-1258"/>
    <x v="9"/>
    <s v="2026"/>
    <s v="Wednesday"/>
    <d v="2026-10-14T00:00:00"/>
    <x v="0"/>
    <s v="central"/>
    <s v="Faisalabad"/>
    <s v="Online"/>
    <s v="Online"/>
    <s v="Accessories"/>
    <x v="7"/>
    <s v="Laptop Sleeve"/>
    <n v="7"/>
    <n v="18.03"/>
    <n v="0.15"/>
    <x v="256"/>
    <n v="61.84"/>
    <n v="45.44"/>
    <s v="Ali"/>
  </r>
  <r>
    <s v="ORD-1259"/>
    <x v="1"/>
    <s v="2025"/>
    <s v="Tuesday"/>
    <d v="2025-11-18T00:00:00"/>
    <x v="0"/>
    <s v="central"/>
    <s v="Faisalabad"/>
    <s v="Wholesale"/>
    <s v="Wholesale"/>
    <s v="Accessories"/>
    <x v="7"/>
    <s v="Laptop Sleeve"/>
    <n v="9"/>
    <n v="18.84"/>
    <n v="0.15"/>
    <x v="257"/>
    <n v="83.08"/>
    <n v="61.05"/>
    <s v="Usman"/>
  </r>
  <r>
    <s v="ORD-1260"/>
    <x v="3"/>
    <s v="2026"/>
    <s v="Sunday"/>
    <d v="2026-03-22T00:00:00"/>
    <x v="2"/>
    <s v="South"/>
    <s v="Karachi"/>
    <s v="Retail"/>
    <s v="Retail"/>
    <s v="Office Supplies"/>
    <x v="6"/>
    <s v="Notebook Set"/>
    <n v="8"/>
    <n v="6.72"/>
    <n v="0.15"/>
    <x v="258"/>
    <n v="21.5"/>
    <n v="24.2"/>
    <s v="Usman"/>
  </r>
  <r>
    <s v="ORD-1261"/>
    <x v="1"/>
    <s v="2025"/>
    <s v="Friday"/>
    <d v="2025-11-28T00:00:00"/>
    <x v="3"/>
    <s v="East"/>
    <s v="Islamabad"/>
    <s v="Online"/>
    <s v="Online"/>
    <s v="Electronics"/>
    <x v="0"/>
    <s v="wireless mouse"/>
    <n v="2"/>
    <n v="18.78"/>
    <n v="0.05"/>
    <x v="259"/>
    <n v="18.03"/>
    <n v="17.649999999999999"/>
    <s v="Ali"/>
  </r>
  <r>
    <s v="ORD-1262"/>
    <x v="5"/>
    <s v="2026"/>
    <s v="Friday"/>
    <d v="2026-05-08T00:00:00"/>
    <x v="4"/>
    <s v="West"/>
    <s v="Peshawar"/>
    <s v="Wholesale"/>
    <s v="Wholesale"/>
    <s v="Electronics"/>
    <x v="0"/>
    <s v="wireless mouse"/>
    <n v="2"/>
    <n v="18.36"/>
    <n v="0.1"/>
    <x v="260"/>
    <n v="17.63"/>
    <n v="15.42"/>
    <s v="Zainab"/>
  </r>
  <r>
    <s v="ORD-1263"/>
    <x v="4"/>
    <s v="2025"/>
    <s v="Friday"/>
    <d v="2025-12-05T00:00:00"/>
    <x v="1"/>
    <s v="North"/>
    <s v="Lahore"/>
    <s v="Wholesale"/>
    <s v="Wholesale"/>
    <s v="Furniture"/>
    <x v="5"/>
    <s v="Standing Desk"/>
    <n v="1"/>
    <n v="261.54000000000002"/>
    <n v="0.1"/>
    <x v="261"/>
    <n v="156.91999999999999"/>
    <n v="78.47"/>
    <s v="Ali"/>
  </r>
  <r>
    <s v="ORD-1264"/>
    <x v="1"/>
    <s v="2026"/>
    <s v="Sunday"/>
    <d v="2026-11-22T00:00:00"/>
    <x v="2"/>
    <s v="South"/>
    <s v="Karachi"/>
    <s v="Online"/>
    <s v="Online"/>
    <s v="Furniture"/>
    <x v="4"/>
    <s v="Ergonomic Chair"/>
    <n v="3"/>
    <n v="139.07"/>
    <n v="0.05"/>
    <x v="262"/>
    <n v="241.98"/>
    <n v="154.37"/>
    <s v="Hamza"/>
  </r>
  <r>
    <s v="ORD-1265"/>
    <x v="5"/>
    <s v="2025"/>
    <s v="Wednesday"/>
    <d v="2025-05-07T00:00:00"/>
    <x v="2"/>
    <s v="South"/>
    <s v="Karachi"/>
    <s v="Wholesale"/>
    <s v="Wholesale"/>
    <s v="Office Supplies"/>
    <x v="6"/>
    <s v="Notebook Set"/>
    <n v="11"/>
    <n v="7.98"/>
    <n v="0.1"/>
    <x v="263"/>
    <n v="35.11"/>
    <n v="43.89"/>
    <s v="Hamza"/>
  </r>
  <r>
    <s v="ORD-1266"/>
    <x v="5"/>
    <s v="2026"/>
    <s v="Friday"/>
    <d v="2026-05-08T00:00:00"/>
    <x v="4"/>
    <s v="West"/>
    <s v="Peshawar"/>
    <s v="Corporate"/>
    <s v="Corporate"/>
    <s v="Office Supplies"/>
    <x v="6"/>
    <s v="Notebook Set"/>
    <n v="3"/>
    <n v="9.2799999999999994"/>
    <n v="0.05"/>
    <x v="264"/>
    <n v="11.14"/>
    <n v="15.31"/>
    <s v="Hira"/>
  </r>
  <r>
    <s v="ORD-1267"/>
    <x v="1"/>
    <s v="2025"/>
    <s v="Wednesday"/>
    <d v="2025-11-12T00:00:00"/>
    <x v="0"/>
    <s v="central"/>
    <s v="Faisalabad"/>
    <s v="Online"/>
    <s v="Online"/>
    <s v="Furniture"/>
    <x v="5"/>
    <s v="Standing Desk"/>
    <n v="5"/>
    <n v="258.42"/>
    <n v="0.15"/>
    <x v="265"/>
    <n v="775.26"/>
    <n v="323.02999999999997"/>
    <s v="Hamza"/>
  </r>
  <r>
    <s v="ORD-1268"/>
    <x v="6"/>
    <s v="2026"/>
    <s v="Saturday"/>
    <s v="09/26/2026"/>
    <x v="2"/>
    <s v="South"/>
    <s v="Karachi"/>
    <s v="Online"/>
    <s v="Online"/>
    <s v="Accessories"/>
    <x v="2"/>
    <s v="Keyboard Cover"/>
    <n v="10"/>
    <n v="10.199999999999999"/>
    <n v="0.15"/>
    <x v="266"/>
    <n v="41.82"/>
    <n v="44.88"/>
    <s v="Usman"/>
  </r>
  <r>
    <s v="ORD-1269"/>
    <x v="3"/>
    <s v="2025"/>
    <s v="Tuesday"/>
    <d v="2025-03-25T00:00:00"/>
    <x v="4"/>
    <s v="West"/>
    <s v="Peshawar"/>
    <s v="Online"/>
    <s v="Online"/>
    <s v="Office Supplies"/>
    <x v="6"/>
    <s v="Notebook Set"/>
    <n v="1"/>
    <n v="9.48"/>
    <n v="0"/>
    <x v="267"/>
    <n v="3.79"/>
    <n v="5.69"/>
    <s v="Ayesha"/>
  </r>
  <r>
    <s v="ORD-1270"/>
    <x v="5"/>
    <s v="2026"/>
    <s v="Saturday"/>
    <d v="2026-05-02T00:00:00"/>
    <x v="0"/>
    <s v="central"/>
    <s v="Faisalabad"/>
    <s v="Retail"/>
    <s v="Retail"/>
    <s v="Electronics"/>
    <x v="10"/>
    <s v="Laptop Stand"/>
    <n v="5"/>
    <n v="23.68"/>
    <n v="0.15"/>
    <x v="268"/>
    <n v="59.2"/>
    <n v="41.44"/>
    <s v="Zainab"/>
  </r>
  <r>
    <s v="ORD-1271"/>
    <x v="10"/>
    <s v="2025"/>
    <s v="Monday"/>
    <d v="2025-04-28T00:00:00"/>
    <x v="3"/>
    <s v="East"/>
    <s v="Islamabad"/>
    <s v="Retail"/>
    <s v="Retail"/>
    <s v="Office Supplies"/>
    <x v="9"/>
    <s v="Printer Paper"/>
    <n v="1"/>
    <n v="11.95"/>
    <n v="0"/>
    <x v="269"/>
    <n v="4.54"/>
    <n v="7.41"/>
    <s v="Usman"/>
  </r>
  <r>
    <s v="ORD-1272"/>
    <x v="4"/>
    <s v="2026"/>
    <s v="Wednesday"/>
    <d v="2026-12-02T00:00:00"/>
    <x v="3"/>
    <s v="East"/>
    <s v="Islamabad"/>
    <s v="Wholesale"/>
    <s v="Wholesale"/>
    <s v="Furniture"/>
    <x v="3"/>
    <s v="Bookshelf"/>
    <n v="12"/>
    <n v="95.43"/>
    <n v="0.1"/>
    <x v="270"/>
    <n v="595.48"/>
    <n v="435.16"/>
    <s v="Ali"/>
  </r>
  <r>
    <s v="ORD-1273"/>
    <x v="11"/>
    <s v="2025"/>
    <s v="Wednesday"/>
    <d v="2025-01-08T00:00:00"/>
    <x v="1"/>
    <s v="North"/>
    <s v="Lahore"/>
    <s v="Online"/>
    <s v="Online"/>
    <s v="Electronics"/>
    <x v="0"/>
    <s v="wireless mouse"/>
    <n v="8"/>
    <n v="18.02"/>
    <n v="0.15"/>
    <x v="271"/>
    <n v="69.2"/>
    <n v="53.34"/>
    <s v="Usman"/>
  </r>
  <r>
    <s v="ORD-1274"/>
    <x v="11"/>
    <s v="2026"/>
    <s v="Sunday"/>
    <d v="2026-01-11T00:00:00"/>
    <x v="3"/>
    <s v="East"/>
    <s v="Islamabad"/>
    <s v="Retail"/>
    <s v="Retail"/>
    <s v="Office Supplies"/>
    <x v="6"/>
    <s v="Notebook Set"/>
    <n v="8"/>
    <n v="6.91"/>
    <n v="0.1"/>
    <x v="272"/>
    <n v="22.11"/>
    <n v="27.64"/>
    <s v="Hira"/>
  </r>
  <r>
    <s v="ORD-1275"/>
    <x v="9"/>
    <s v="2025"/>
    <s v="Monday"/>
    <d v="2025-10-13T00:00:00"/>
    <x v="2"/>
    <s v="South"/>
    <s v="Karachi"/>
    <s v="Wholesale"/>
    <s v="Wholesale"/>
    <s v="Furniture"/>
    <x v="4"/>
    <s v="Ergonomic Chair"/>
    <n v="5"/>
    <n v="139.38999999999999"/>
    <n v="0.15"/>
    <x v="273"/>
    <n v="404.23"/>
    <n v="188.18"/>
    <s v="Hira"/>
  </r>
  <r>
    <s v="ORD-1276"/>
    <x v="4"/>
    <s v="2026"/>
    <s v="Tuesday"/>
    <d v="2026-12-01T00:00:00"/>
    <x v="2"/>
    <s v="South"/>
    <s v="Karachi"/>
    <s v="Corporate"/>
    <s v="Corporate"/>
    <s v="Furniture"/>
    <x v="3"/>
    <s v="Bookshelf"/>
    <n v="12"/>
    <n v="96.74"/>
    <n v="0.1"/>
    <x v="274"/>
    <n v="603.66"/>
    <n v="441.13"/>
    <s v="Usman"/>
  </r>
  <r>
    <s v="ORD-1277"/>
    <x v="1"/>
    <s v="2025"/>
    <s v="Thursday"/>
    <d v="2025-11-13T00:00:00"/>
    <x v="2"/>
    <s v="South"/>
    <s v="Karachi"/>
    <s v="Corporate"/>
    <s v="Corporate"/>
    <s v="Office Supplies"/>
    <x v="9"/>
    <s v="Printer Paper"/>
    <n v="2"/>
    <n v="11.72"/>
    <n v="0.05"/>
    <x v="275"/>
    <n v="8.91"/>
    <n v="13.36"/>
    <s v="Hira"/>
  </r>
  <r>
    <s v="ORD-1278"/>
    <x v="3"/>
    <s v="2026"/>
    <s v="Sunday"/>
    <d v="2026-03-22T00:00:00"/>
    <x v="0"/>
    <s v="central"/>
    <s v="Faisalabad"/>
    <s v="Corporate"/>
    <s v="Corporate"/>
    <s v="Furniture"/>
    <x v="3"/>
    <s v="Bookshelf"/>
    <n v="3"/>
    <n v="95.04"/>
    <n v="0.05"/>
    <x v="276"/>
    <n v="148.26"/>
    <n v="122.6"/>
    <s v="Hamza"/>
  </r>
  <r>
    <s v="ORD-1279"/>
    <x v="4"/>
    <s v="2025"/>
    <s v="Friday"/>
    <d v="2025-12-05T00:00:00"/>
    <x v="0"/>
    <s v="central"/>
    <s v="Faisalabad"/>
    <s v="Wholesale"/>
    <s v="Wholesale"/>
    <s v="Furniture"/>
    <x v="3"/>
    <s v="Bookshelf"/>
    <n v="11"/>
    <n v="96.33"/>
    <n v="0.15"/>
    <x v="277"/>
    <n v="551.01"/>
    <n v="349.68"/>
    <s v="Usman"/>
  </r>
  <r>
    <s v="ORD-1280"/>
    <x v="4"/>
    <s v="2026"/>
    <s v="Monday"/>
    <d v="2026-12-07T00:00:00"/>
    <x v="0"/>
    <s v="central"/>
    <s v="Faisalabad"/>
    <s v="Online"/>
    <s v="Online"/>
    <s v="Electronics"/>
    <x v="0"/>
    <s v="wireless mouse"/>
    <n v="4"/>
    <n v="18.39"/>
    <n v="0.1"/>
    <x v="278"/>
    <n v="35.31"/>
    <n v="30.89"/>
    <s v="Zainab"/>
  </r>
  <r>
    <s v="ORD-1281"/>
    <x v="4"/>
    <s v="2025"/>
    <s v="Saturday"/>
    <d v="2025-12-13T00:00:00"/>
    <x v="1"/>
    <s v="North"/>
    <s v="Lahore"/>
    <s v="Wholesale"/>
    <s v="Wholesale"/>
    <s v="Accessories"/>
    <x v="1"/>
    <s v="Water Bottle"/>
    <n v="11"/>
    <n v="11.05"/>
    <n v="0.05"/>
    <x v="279"/>
    <n v="52.27"/>
    <n v="63.2"/>
    <s v="Hira"/>
  </r>
  <r>
    <s v="ORD-1282"/>
    <x v="7"/>
    <s v="2026"/>
    <s v="Tuesday"/>
    <d v="2026-07-14T00:00:00"/>
    <x v="4"/>
    <s v="West"/>
    <s v="Peshawar"/>
    <s v="Retail"/>
    <s v="Retail"/>
    <s v="Office Supplies"/>
    <x v="6"/>
    <s v="Notebook Set"/>
    <n v="5"/>
    <n v="9.83"/>
    <n v="0.15"/>
    <x v="280"/>
    <n v="19.66"/>
    <n v="22.12"/>
    <s v="Zainab"/>
  </r>
  <r>
    <s v="ORD-1283"/>
    <x v="8"/>
    <s v="2025"/>
    <s v="Wednesday"/>
    <d v="2025-02-26T00:00:00"/>
    <x v="2"/>
    <s v="South"/>
    <s v="Karachi"/>
    <s v="Corporate"/>
    <s v="Corporate"/>
    <s v="Furniture"/>
    <x v="3"/>
    <s v="Bookshelf"/>
    <n v="12"/>
    <n v="95.25"/>
    <n v="0.15"/>
    <x v="281"/>
    <n v="594.36"/>
    <n v="377.19"/>
    <s v="Usman"/>
  </r>
  <r>
    <s v="ORD-1284"/>
    <x v="6"/>
    <s v="2026"/>
    <s v="Saturday"/>
    <d v="2026-09-19T00:00:00"/>
    <x v="4"/>
    <s v="West"/>
    <s v="Peshawar"/>
    <s v="Online"/>
    <s v="Online"/>
    <s v="Furniture"/>
    <x v="5"/>
    <s v="Standing Desk"/>
    <n v="6"/>
    <n v="260.33999999999997"/>
    <n v="0.15"/>
    <x v="282"/>
    <n v="937.22"/>
    <n v="390.51"/>
    <s v="Zainab"/>
  </r>
  <r>
    <s v="ORD-1285"/>
    <x v="4"/>
    <s v="2025"/>
    <s v="Wednesday"/>
    <d v="2025-12-03T00:00:00"/>
    <x v="3"/>
    <s v="East"/>
    <s v="Islamabad"/>
    <s v="Wholesale"/>
    <s v="Wholesale"/>
    <s v="Accessories"/>
    <x v="7"/>
    <s v="Laptop Sleeve"/>
    <n v="9"/>
    <n v="18.98"/>
    <n v="0"/>
    <x v="49"/>
    <n v="83.7"/>
    <n v="87.12"/>
    <s v="Usman"/>
  </r>
  <r>
    <s v="ORD-1286"/>
    <x v="8"/>
    <s v="2026"/>
    <s v="Saturday"/>
    <d v="2026-02-07T00:00:00"/>
    <x v="1"/>
    <s v="North"/>
    <s v="Lahore"/>
    <s v="Wholesale"/>
    <s v="Wholesale"/>
    <s v="Office Supplies"/>
    <x v="9"/>
    <s v="Printer Paper"/>
    <n v="10"/>
    <n v="12.86"/>
    <n v="0.15"/>
    <x v="283"/>
    <n v="48.87"/>
    <n v="60.44"/>
    <s v="Ali"/>
  </r>
  <r>
    <s v="ORD-1287"/>
    <x v="10"/>
    <s v="2025"/>
    <s v="Tuesday"/>
    <d v="2025-04-01T00:00:00"/>
    <x v="1"/>
    <s v="North"/>
    <s v="Lahore"/>
    <s v="Retail"/>
    <s v="Retail"/>
    <s v="Office Supplies"/>
    <x v="9"/>
    <s v="Printer Paper"/>
    <n v="8"/>
    <n v="12.89"/>
    <n v="0.05"/>
    <x v="284"/>
    <n v="39.19"/>
    <n v="58.77"/>
    <s v="Usman"/>
  </r>
  <r>
    <s v="ORD-1288"/>
    <x v="10"/>
    <s v="2026"/>
    <s v="Tuesday"/>
    <d v="2026-04-21T00:00:00"/>
    <x v="3"/>
    <s v="East"/>
    <s v="Islamabad"/>
    <s v="Online"/>
    <s v="Online"/>
    <s v="Furniture"/>
    <x v="5"/>
    <s v="Standing Desk"/>
    <n v="1"/>
    <n v="258.42"/>
    <n v="0"/>
    <x v="285"/>
    <n v="155.05000000000001"/>
    <n v="103.37"/>
    <s v="Usman"/>
  </r>
  <r>
    <s v="ORD-1289"/>
    <x v="0"/>
    <s v="2025"/>
    <s v="Thursday"/>
    <d v="2025-06-05T00:00:00"/>
    <x v="4"/>
    <s v="West"/>
    <s v="Peshawar"/>
    <s v="Online"/>
    <s v="Online"/>
    <s v="Furniture"/>
    <x v="4"/>
    <s v="Ergonomic Chair"/>
    <n v="1"/>
    <n v="141.82"/>
    <n v="0.1"/>
    <x v="286"/>
    <n v="82.26"/>
    <n v="45.38"/>
    <s v="Hira"/>
  </r>
  <r>
    <s v="ORD-1290"/>
    <x v="8"/>
    <s v="2026"/>
    <s v="Sunday"/>
    <d v="2026-02-22T00:00:00"/>
    <x v="2"/>
    <s v="South"/>
    <s v="Karachi"/>
    <s v="Online"/>
    <s v="Online"/>
    <s v="Office Supplies"/>
    <x v="6"/>
    <s v="Notebook Set"/>
    <n v="3"/>
    <n v="8.4"/>
    <n v="0.1"/>
    <x v="287"/>
    <n v="10.08"/>
    <n v="12.6"/>
    <s v="Ayesha"/>
  </r>
  <r>
    <s v="ORD-1291"/>
    <x v="1"/>
    <s v="2025"/>
    <s v="Sunday"/>
    <d v="2025-11-16T00:00:00"/>
    <x v="3"/>
    <s v="East"/>
    <s v="Islamabad"/>
    <s v="Corporate"/>
    <s v="Corporate"/>
    <s v="Electronics"/>
    <x v="10"/>
    <s v="Laptop Stand"/>
    <n v="4"/>
    <n v="22.8"/>
    <n v="0.15"/>
    <x v="288"/>
    <n v="45.6"/>
    <n v="31.92"/>
    <s v="Ayesha"/>
  </r>
  <r>
    <s v="ORD-1292"/>
    <x v="2"/>
    <s v="2026"/>
    <s v="Monday"/>
    <d v="2026-08-03T00:00:00"/>
    <x v="1"/>
    <s v="North"/>
    <s v="Lahore"/>
    <s v="Retail"/>
    <s v="Retail"/>
    <s v="Furniture"/>
    <x v="5"/>
    <s v="Standing Desk"/>
    <n v="1"/>
    <n v="259.91000000000003"/>
    <n v="0.15"/>
    <x v="289"/>
    <n v="155.94999999999999"/>
    <n v="64.97"/>
    <s v="Ayesha"/>
  </r>
  <r>
    <s v="ORD-1293"/>
    <x v="4"/>
    <s v="2025"/>
    <s v="Thursday"/>
    <d v="2025-12-25T00:00:00"/>
    <x v="1"/>
    <s v="North"/>
    <s v="Lahore"/>
    <s v="Corporate"/>
    <s v="Corporate"/>
    <s v="Electronics"/>
    <x v="8"/>
    <s v="USB-C Hub"/>
    <n v="10"/>
    <n v="25.72"/>
    <n v="0.15"/>
    <x v="290"/>
    <n v="141.46"/>
    <n v="77.16"/>
    <s v="Usman"/>
  </r>
  <r>
    <s v="ORD-1294"/>
    <x v="10"/>
    <s v="2026"/>
    <s v="Wednesday"/>
    <d v="2026-04-15T00:00:00"/>
    <x v="1"/>
    <s v="North"/>
    <s v="Lahore"/>
    <s v="Retail"/>
    <s v="Retail"/>
    <s v="Electronics"/>
    <x v="0"/>
    <s v="wireless mouse"/>
    <n v="7"/>
    <n v="16.14"/>
    <n v="0.1"/>
    <x v="291"/>
    <n v="54.23"/>
    <n v="47.45"/>
    <s v="Hira"/>
  </r>
  <r>
    <s v="ORD-1295"/>
    <x v="4"/>
    <s v="2025"/>
    <s v="Saturday"/>
    <d v="2025-12-13T00:00:00"/>
    <x v="4"/>
    <s v="West"/>
    <s v="Peshawar"/>
    <s v="Wholesale"/>
    <s v="Wholesale"/>
    <s v="Accessories"/>
    <x v="1"/>
    <s v="Water Bottle"/>
    <n v="6"/>
    <n v="8.06"/>
    <n v="0"/>
    <x v="292"/>
    <n v="20.79"/>
    <n v="27.57"/>
    <s v="Ayesha"/>
  </r>
  <r>
    <s v="ORD-1296"/>
    <x v="10"/>
    <s v="2026"/>
    <s v="Wednesday"/>
    <d v="2026-04-15T00:00:00"/>
    <x v="3"/>
    <s v="East"/>
    <s v="Islamabad"/>
    <s v="Wholesale"/>
    <s v="Wholesale"/>
    <s v="Accessories"/>
    <x v="7"/>
    <s v="Laptop Sleeve"/>
    <n v="5"/>
    <n v="20.95"/>
    <n v="0.15"/>
    <x v="293"/>
    <n v="51.33"/>
    <n v="37.71"/>
    <s v="Usman"/>
  </r>
  <r>
    <s v="ORD-1297"/>
    <x v="0"/>
    <s v="2025"/>
    <s v="Sunday"/>
    <d v="2025-06-15T00:00:00"/>
    <x v="3"/>
    <s v="East"/>
    <s v="Islamabad"/>
    <s v="Corporate"/>
    <s v="Corporate"/>
    <s v="Office Supplies"/>
    <x v="11"/>
    <s v="Desk Organizer"/>
    <n v="11"/>
    <n v="15.07"/>
    <n v="0"/>
    <x v="294"/>
    <n v="76.25"/>
    <n v="89.52"/>
    <s v="Zainab"/>
  </r>
  <r>
    <s v="ORD-1298"/>
    <x v="9"/>
    <s v="2026"/>
    <s v="Saturday"/>
    <d v="2026-10-17T00:00:00"/>
    <x v="1"/>
    <s v="North"/>
    <s v="Lahore"/>
    <s v="Corporate"/>
    <s v="Corporate"/>
    <s v="Electronics"/>
    <x v="8"/>
    <s v="USB-C Hub"/>
    <n v="6"/>
    <n v="24.93"/>
    <n v="0.1"/>
    <x v="295"/>
    <n v="82.27"/>
    <n v="52.35"/>
    <s v="Hira"/>
  </r>
  <r>
    <s v="ORD-1299"/>
    <x v="3"/>
    <s v="2025"/>
    <s v="Thursday"/>
    <d v="2025-03-27T00:00:00"/>
    <x v="4"/>
    <s v="West"/>
    <s v="Peshawar"/>
    <s v="Online"/>
    <s v="Online"/>
    <s v="Office Supplies"/>
    <x v="11"/>
    <s v="Desk Organizer"/>
    <n v="12"/>
    <n v="15.11"/>
    <n v="0.1"/>
    <x v="296"/>
    <n v="83.41"/>
    <n v="79.78"/>
    <s v="Ayesha"/>
  </r>
  <r>
    <s v="ORD-1300"/>
    <x v="11"/>
    <s v="2026"/>
    <s v="Monday"/>
    <d v="2026-01-26T00:00:00"/>
    <x v="3"/>
    <s v="East"/>
    <s v="Islamabad"/>
    <s v="Online"/>
    <s v="Online"/>
    <s v="Furniture"/>
    <x v="5"/>
    <s v="Standing Desk"/>
    <n v="1"/>
    <n v="258.11"/>
    <n v="0.15"/>
    <x v="297"/>
    <n v="154.87"/>
    <n v="64.52"/>
    <s v="A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B4:D17" firstHeaderRow="0" firstDataRow="1" firstDataCol="1"/>
  <pivotFields count="20">
    <pivotField showAll="0"/>
    <pivotField axis="axisRow" showAll="0" sortType="ascending">
      <items count="13">
        <item x="11"/>
        <item x="8"/>
        <item x="3"/>
        <item x="10"/>
        <item x="5"/>
        <item x="0"/>
        <item x="7"/>
        <item x="2"/>
        <item x="6"/>
        <item x="9"/>
        <item x="1"/>
        <item x="4"/>
        <item t="default"/>
      </items>
    </pivotField>
    <pivotField showAll="0"/>
    <pivotField showAll="0"/>
    <pivotField showAll="0"/>
    <pivotField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3"/>
        <item x="11"/>
        <item x="4"/>
        <item x="2"/>
        <item x="7"/>
        <item x="10"/>
        <item x="6"/>
        <item x="9"/>
        <item x="5"/>
        <item x="8"/>
        <item x="1"/>
        <item x="0"/>
        <item t="default"/>
      </items>
    </pivotField>
    <pivotField showAll="0"/>
    <pivotField numFmtId="3" showAll="0"/>
    <pivotField numFmtId="4" showAll="0"/>
    <pivotField numFmtId="9" showAll="0"/>
    <pivotField dataField="1" numFmtId="4" showAll="0">
      <items count="299">
        <item x="111"/>
        <item x="36"/>
        <item x="12"/>
        <item x="40"/>
        <item x="267"/>
        <item x="81"/>
        <item x="113"/>
        <item x="65"/>
        <item x="54"/>
        <item x="269"/>
        <item x="120"/>
        <item x="27"/>
        <item x="228"/>
        <item x="7"/>
        <item x="224"/>
        <item x="248"/>
        <item x="209"/>
        <item x="160"/>
        <item x="141"/>
        <item x="28"/>
        <item x="206"/>
        <item x="55"/>
        <item x="3"/>
        <item x="275"/>
        <item x="287"/>
        <item x="214"/>
        <item x="159"/>
        <item x="264"/>
        <item x="67"/>
        <item x="11"/>
        <item x="100"/>
        <item x="177"/>
        <item x="249"/>
        <item x="115"/>
        <item x="19"/>
        <item x="180"/>
        <item x="170"/>
        <item x="260"/>
        <item x="152"/>
        <item x="172"/>
        <item x="112"/>
        <item x="235"/>
        <item x="87"/>
        <item x="259"/>
        <item x="46"/>
        <item x="244"/>
        <item x="216"/>
        <item x="1"/>
        <item x="85"/>
        <item x="91"/>
        <item x="280"/>
        <item x="47"/>
        <item x="182"/>
        <item x="198"/>
        <item x="195"/>
        <item x="92"/>
        <item x="102"/>
        <item x="128"/>
        <item x="258"/>
        <item x="119"/>
        <item x="13"/>
        <item x="33"/>
        <item x="201"/>
        <item x="183"/>
        <item x="188"/>
        <item x="292"/>
        <item x="272"/>
        <item x="149"/>
        <item x="62"/>
        <item x="108"/>
        <item x="6"/>
        <item x="77"/>
        <item x="255"/>
        <item x="165"/>
        <item x="17"/>
        <item x="231"/>
        <item x="243"/>
        <item x="35"/>
        <item x="48"/>
        <item x="250"/>
        <item x="97"/>
        <item x="169"/>
        <item x="125"/>
        <item x="202"/>
        <item x="234"/>
        <item x="168"/>
        <item x="200"/>
        <item x="173"/>
        <item x="162"/>
        <item x="196"/>
        <item x="213"/>
        <item x="278"/>
        <item x="117"/>
        <item x="25"/>
        <item x="226"/>
        <item x="22"/>
        <item x="208"/>
        <item x="239"/>
        <item x="136"/>
        <item x="211"/>
        <item x="238"/>
        <item x="84"/>
        <item x="21"/>
        <item x="75"/>
        <item x="8"/>
        <item x="219"/>
        <item x="89"/>
        <item x="146"/>
        <item x="288"/>
        <item x="190"/>
        <item x="167"/>
        <item x="263"/>
        <item x="134"/>
        <item x="181"/>
        <item x="53"/>
        <item x="222"/>
        <item x="116"/>
        <item x="64"/>
        <item x="38"/>
        <item x="153"/>
        <item x="215"/>
        <item x="66"/>
        <item x="122"/>
        <item x="254"/>
        <item x="266"/>
        <item x="129"/>
        <item x="82"/>
        <item x="293"/>
        <item x="73"/>
        <item x="151"/>
        <item x="144"/>
        <item x="147"/>
        <item x="23"/>
        <item x="245"/>
        <item x="229"/>
        <item x="164"/>
        <item x="232"/>
        <item x="124"/>
        <item x="217"/>
        <item x="284"/>
        <item x="194"/>
        <item x="30"/>
        <item x="268"/>
        <item x="291"/>
        <item x="175"/>
        <item x="83"/>
        <item x="233"/>
        <item x="24"/>
        <item x="106"/>
        <item x="74"/>
        <item x="37"/>
        <item x="256"/>
        <item x="207"/>
        <item x="56"/>
        <item x="205"/>
        <item x="283"/>
        <item x="142"/>
        <item x="15"/>
        <item x="171"/>
        <item x="126"/>
        <item x="0"/>
        <item x="139"/>
        <item x="52"/>
        <item x="279"/>
        <item x="210"/>
        <item x="2"/>
        <item x="220"/>
        <item x="18"/>
        <item x="237"/>
        <item x="70"/>
        <item x="271"/>
        <item x="212"/>
        <item x="203"/>
        <item x="286"/>
        <item x="34"/>
        <item x="107"/>
        <item x="199"/>
        <item x="99"/>
        <item x="135"/>
        <item x="158"/>
        <item x="295"/>
        <item x="4"/>
        <item x="189"/>
        <item x="186"/>
        <item x="63"/>
        <item x="155"/>
        <item x="247"/>
        <item x="145"/>
        <item x="257"/>
        <item x="57"/>
        <item x="26"/>
        <item x="176"/>
        <item x="93"/>
        <item x="94"/>
        <item x="110"/>
        <item x="98"/>
        <item x="236"/>
        <item x="131"/>
        <item x="69"/>
        <item x="296"/>
        <item x="101"/>
        <item x="294"/>
        <item x="49"/>
        <item x="96"/>
        <item x="143"/>
        <item x="79"/>
        <item x="150"/>
        <item x="156"/>
        <item x="133"/>
        <item x="227"/>
        <item x="61"/>
        <item x="193"/>
        <item x="103"/>
        <item x="204"/>
        <item x="123"/>
        <item x="105"/>
        <item x="253"/>
        <item x="42"/>
        <item x="290"/>
        <item x="297"/>
        <item x="289"/>
        <item x="121"/>
        <item x="114"/>
        <item x="118"/>
        <item x="59"/>
        <item x="261"/>
        <item x="225"/>
        <item x="191"/>
        <item x="140"/>
        <item x="86"/>
        <item x="72"/>
        <item x="246"/>
        <item x="185"/>
        <item x="16"/>
        <item x="154"/>
        <item x="285"/>
        <item x="138"/>
        <item x="157"/>
        <item x="127"/>
        <item x="276"/>
        <item x="60"/>
        <item x="221"/>
        <item x="242"/>
        <item x="104"/>
        <item x="192"/>
        <item x="51"/>
        <item x="95"/>
        <item x="240"/>
        <item x="262"/>
        <item x="68"/>
        <item x="71"/>
        <item x="39"/>
        <item x="31"/>
        <item x="273"/>
        <item x="178"/>
        <item x="50"/>
        <item x="58"/>
        <item x="130"/>
        <item x="5"/>
        <item x="241"/>
        <item x="187"/>
        <item x="109"/>
        <item x="137"/>
        <item x="29"/>
        <item x="166"/>
        <item x="14"/>
        <item x="90"/>
        <item x="88"/>
        <item x="277"/>
        <item x="148"/>
        <item x="281"/>
        <item x="218"/>
        <item x="270"/>
        <item x="251"/>
        <item x="223"/>
        <item x="41"/>
        <item x="174"/>
        <item x="274"/>
        <item x="265"/>
        <item x="252"/>
        <item x="132"/>
        <item x="179"/>
        <item x="45"/>
        <item x="161"/>
        <item x="43"/>
        <item x="282"/>
        <item x="9"/>
        <item x="32"/>
        <item x="80"/>
        <item x="163"/>
        <item x="197"/>
        <item x="20"/>
        <item x="184"/>
        <item x="10"/>
        <item x="44"/>
        <item x="230"/>
        <item x="76"/>
        <item x="78"/>
        <item t="default"/>
      </items>
    </pivotField>
    <pivotField numFmtId="4" showAll="0"/>
    <pivotField dataField="1" numFmtId="4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formats count="3">
    <format dxfId="4">
      <pivotArea field="1" type="button" dataOnly="0" labelOnly="1" outline="0" axis="axisRow" fieldPosition="0"/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E4:F10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3">
        <item x="3"/>
        <item x="11"/>
        <item x="4"/>
        <item x="2"/>
        <item x="7"/>
        <item x="10"/>
        <item x="6"/>
        <item x="9"/>
        <item x="5"/>
        <item x="8"/>
        <item x="1"/>
        <item x="0"/>
        <item t="default"/>
      </items>
    </pivotField>
    <pivotField showAll="0"/>
    <pivotField numFmtId="3" showAll="0"/>
    <pivotField numFmtId="4" showAll="0"/>
    <pivotField numFmtId="9" showAll="0"/>
    <pivotField dataField="1" numFmtId="4" showAll="0"/>
    <pivotField numFmtId="4" showAll="0"/>
    <pivotField numFmtId="4" showAll="0"/>
    <pivotField showAll="0"/>
  </pivotFields>
  <rowFields count="1">
    <field x="5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Sales" fld="16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F3:G1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3"/>
        <item x="11"/>
        <item x="4"/>
        <item x="2"/>
        <item x="7"/>
        <item x="10"/>
        <item x="6"/>
        <item x="9"/>
        <item x="5"/>
        <item x="8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4" showAll="0"/>
    <pivotField numFmtId="9" showAll="0"/>
    <pivotField dataField="1" numFmtId="4" showAll="0"/>
    <pivotField numFmtId="4" showAll="0"/>
    <pivotField numFmtId="4" showAll="0"/>
    <pivotField showAll="0"/>
  </pivotFields>
  <rowFields count="1">
    <field x="11"/>
  </rowFields>
  <rowItems count="13">
    <i>
      <x v="8"/>
    </i>
    <i>
      <x/>
    </i>
    <i>
      <x v="2"/>
    </i>
    <i>
      <x v="9"/>
    </i>
    <i>
      <x v="5"/>
    </i>
    <i>
      <x v="4"/>
    </i>
    <i>
      <x v="1"/>
    </i>
    <i>
      <x v="3"/>
    </i>
    <i>
      <x v="11"/>
    </i>
    <i>
      <x v="10"/>
    </i>
    <i>
      <x v="6"/>
    </i>
    <i>
      <x v="7"/>
    </i>
    <i t="grand">
      <x/>
    </i>
  </rowItems>
  <colItems count="1">
    <i/>
  </colItems>
  <dataFields count="1">
    <dataField name="Sum of Sales" fld="16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awSalesTable" displayName="RawSalesTable" ref="A1:N313" totalsRowShown="0">
  <tableColumns count="14">
    <tableColumn id="1" name="Order ID"/>
    <tableColumn id="2" name="Order Date"/>
    <tableColumn id="3" name="Region"/>
    <tableColumn id="4" name="City"/>
    <tableColumn id="5" name="Customer Type"/>
    <tableColumn id="6" name="Product Category"/>
    <tableColumn id="7" name="Product"/>
    <tableColumn id="8" name="Quantity"/>
    <tableColumn id="9" name="Unit Price"/>
    <tableColumn id="10" name="Discount"/>
    <tableColumn id="11" name="Sales"/>
    <tableColumn id="12" name="Cost"/>
    <tableColumn id="13" name="Profit"/>
    <tableColumn id="14" name="Salesper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SalesTable3" displayName="RawSalesTable3" ref="A1:T301" totalsRowShown="0">
  <autoFilter ref="A1:T301"/>
  <tableColumns count="20">
    <tableColumn id="1" name="Order ID"/>
    <tableColumn id="19" name="Month" dataDxfId="7">
      <calculatedColumnFormula>TEXT(E:E,"mmm")</calculatedColumnFormula>
    </tableColumn>
    <tableColumn id="20" name="Year" dataDxfId="6">
      <calculatedColumnFormula>TEXT(E:E,"YYYY")</calculatedColumnFormula>
    </tableColumn>
    <tableColumn id="21" name="Day" dataDxfId="5">
      <calculatedColumnFormula>TEXT(E:E,"DDDD")</calculatedColumnFormula>
    </tableColumn>
    <tableColumn id="2" name="Order Date" dataDxfId="8"/>
    <tableColumn id="15" name="Region" dataDxfId="9">
      <calculatedColumnFormula>PROPER(G:G)</calculatedColumnFormula>
    </tableColumn>
    <tableColumn id="3" name="Region2"/>
    <tableColumn id="4" name="City"/>
    <tableColumn id="16" name="Customer Type" dataDxfId="10">
      <calculatedColumnFormula>PROPER(J:J)</calculatedColumnFormula>
    </tableColumn>
    <tableColumn id="5" name="Customer Type2"/>
    <tableColumn id="6" name="Product Category"/>
    <tableColumn id="17" name="Product" dataDxfId="11">
      <calculatedColumnFormula>PROPER(TRIM(M:M))</calculatedColumnFormula>
    </tableColumn>
    <tableColumn id="7" name="Product2"/>
    <tableColumn id="8" name="Quantity"/>
    <tableColumn id="9" name="Unit Price"/>
    <tableColumn id="10" name="Discount"/>
    <tableColumn id="11" name="Sales"/>
    <tableColumn id="12" name="Cost"/>
    <tableColumn id="13" name="Profit"/>
    <tableColumn id="14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2:H17"/>
  <sheetViews>
    <sheetView showGridLines="0" tabSelected="1" zoomScale="64" zoomScaleNormal="64" workbookViewId="0">
      <selection activeCell="H1" sqref="H1"/>
    </sheetView>
  </sheetViews>
  <sheetFormatPr defaultRowHeight="14"/>
  <cols>
    <col min="1" max="1" width="31" customWidth="1"/>
    <col min="2" max="2" width="30" customWidth="1"/>
    <col min="3" max="3" width="3" customWidth="1"/>
    <col min="4" max="7" width="18" customWidth="1"/>
    <col min="8" max="8" width="42.6640625" customWidth="1"/>
  </cols>
  <sheetData>
    <row r="2" spans="1:8" ht="22" customHeight="1">
      <c r="A2" s="11" t="s">
        <v>0</v>
      </c>
      <c r="B2" s="12"/>
      <c r="C2" s="12"/>
      <c r="D2" s="12"/>
      <c r="E2" s="12"/>
      <c r="F2" s="12"/>
      <c r="G2" s="12"/>
      <c r="H2" s="12"/>
    </row>
    <row r="3" spans="1:8" hidden="1">
      <c r="A3" s="13" t="s">
        <v>1</v>
      </c>
      <c r="B3" s="12"/>
      <c r="C3" s="12"/>
      <c r="D3" s="12"/>
      <c r="E3" s="12"/>
      <c r="F3" s="12"/>
      <c r="G3" s="12"/>
      <c r="H3" s="12"/>
    </row>
    <row r="4" spans="1:8" hidden="1"/>
    <row r="5" spans="1:8">
      <c r="A5" s="1" t="s">
        <v>2</v>
      </c>
      <c r="B5" s="1" t="s">
        <v>3</v>
      </c>
      <c r="D5" s="14" t="s">
        <v>4</v>
      </c>
      <c r="E5" s="14"/>
      <c r="F5" s="14"/>
      <c r="G5" s="14"/>
      <c r="H5" s="14"/>
    </row>
    <row r="6" spans="1:8" ht="22" customHeight="1">
      <c r="A6" s="8" t="s">
        <v>5</v>
      </c>
      <c r="B6" s="35" t="s">
        <v>422</v>
      </c>
      <c r="D6" s="33" t="s">
        <v>421</v>
      </c>
      <c r="E6" s="15"/>
      <c r="F6" s="15"/>
      <c r="G6" s="15"/>
      <c r="H6" s="16"/>
    </row>
    <row r="7" spans="1:8" ht="22" customHeight="1">
      <c r="A7" s="8" t="s">
        <v>6</v>
      </c>
      <c r="B7" s="35" t="s">
        <v>422</v>
      </c>
      <c r="D7" s="17"/>
      <c r="E7" s="18"/>
      <c r="F7" s="18"/>
      <c r="G7" s="18"/>
      <c r="H7" s="19"/>
    </row>
    <row r="8" spans="1:8" ht="22" customHeight="1">
      <c r="A8" s="8" t="s">
        <v>7</v>
      </c>
      <c r="B8" s="35" t="s">
        <v>422</v>
      </c>
      <c r="D8" s="17"/>
      <c r="E8" s="18"/>
      <c r="F8" s="18"/>
      <c r="G8" s="18"/>
      <c r="H8" s="19"/>
    </row>
    <row r="9" spans="1:8" ht="22" customHeight="1">
      <c r="A9" s="8" t="s">
        <v>8</v>
      </c>
      <c r="B9" s="35" t="s">
        <v>422</v>
      </c>
      <c r="D9" s="17"/>
      <c r="E9" s="18"/>
      <c r="F9" s="18"/>
      <c r="G9" s="18"/>
      <c r="H9" s="19"/>
    </row>
    <row r="10" spans="1:8" ht="75" customHeight="1">
      <c r="A10" s="8" t="s">
        <v>9</v>
      </c>
      <c r="B10" s="35" t="s">
        <v>422</v>
      </c>
      <c r="D10" s="20"/>
      <c r="E10" s="21"/>
      <c r="F10" s="21"/>
      <c r="G10" s="21"/>
      <c r="H10" s="22"/>
    </row>
    <row r="12" spans="1:8">
      <c r="A12" s="23" t="s">
        <v>10</v>
      </c>
      <c r="B12" s="23"/>
      <c r="C12" s="23"/>
      <c r="D12" s="23"/>
      <c r="E12" s="23"/>
      <c r="F12" s="23"/>
      <c r="G12" s="23"/>
      <c r="H12" s="23"/>
    </row>
    <row r="13" spans="1:8" ht="28" customHeight="1">
      <c r="A13" s="9" t="s">
        <v>11</v>
      </c>
      <c r="B13" s="9" t="s">
        <v>12</v>
      </c>
      <c r="C13" s="9"/>
      <c r="D13" s="9" t="s">
        <v>13</v>
      </c>
      <c r="E13" s="9" t="s">
        <v>14</v>
      </c>
      <c r="F13" s="9"/>
      <c r="G13" s="9" t="s">
        <v>15</v>
      </c>
      <c r="H13" s="9" t="s">
        <v>16</v>
      </c>
    </row>
    <row r="14" spans="1:8" ht="28" customHeight="1">
      <c r="A14" s="9" t="s">
        <v>17</v>
      </c>
      <c r="B14" s="9" t="s">
        <v>18</v>
      </c>
      <c r="C14" s="9"/>
      <c r="D14" s="9" t="s">
        <v>19</v>
      </c>
      <c r="E14" s="9" t="s">
        <v>20</v>
      </c>
      <c r="F14" s="9"/>
      <c r="G14" s="9" t="s">
        <v>21</v>
      </c>
      <c r="H14" s="9" t="s">
        <v>22</v>
      </c>
    </row>
    <row r="15" spans="1:8" ht="28" customHeight="1">
      <c r="A15" s="9" t="s">
        <v>23</v>
      </c>
      <c r="B15" s="9" t="s">
        <v>24</v>
      </c>
      <c r="C15" s="9"/>
      <c r="D15" s="9"/>
      <c r="E15" s="9"/>
      <c r="F15" s="9"/>
      <c r="G15" s="9"/>
      <c r="H15" s="9"/>
    </row>
    <row r="16" spans="1:8" ht="46" customHeight="1">
      <c r="A16" s="9" t="s">
        <v>25</v>
      </c>
      <c r="B16" s="9" t="s">
        <v>26</v>
      </c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</sheetData>
  <mergeCells count="5">
    <mergeCell ref="A2:H2"/>
    <mergeCell ref="A3:H3"/>
    <mergeCell ref="D5:H5"/>
    <mergeCell ref="D6:H10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BAD0"/>
  </sheetPr>
  <dimension ref="A1:N313"/>
  <sheetViews>
    <sheetView showGridLines="0" zoomScale="68" zoomScaleNormal="68" workbookViewId="0">
      <pane ySplit="1" topLeftCell="A286" activePane="bottomLeft" state="frozen"/>
      <selection pane="bottomLeft" sqref="A1:N313"/>
    </sheetView>
  </sheetViews>
  <sheetFormatPr defaultRowHeight="14"/>
  <cols>
    <col min="1" max="2" width="13" customWidth="1"/>
    <col min="3" max="7" width="18" customWidth="1"/>
    <col min="8" max="14" width="13" customWidth="1"/>
  </cols>
  <sheetData>
    <row r="1" spans="1:14" ht="24" customHeight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</row>
    <row r="2" spans="1:14">
      <c r="A2" s="3" t="s">
        <v>41</v>
      </c>
      <c r="B2" s="4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5">
        <v>8</v>
      </c>
      <c r="I2" s="6">
        <v>16.93</v>
      </c>
      <c r="J2" s="7">
        <v>0.15</v>
      </c>
      <c r="K2" s="6">
        <v>115.12</v>
      </c>
      <c r="L2" s="6">
        <v>65.010000000000005</v>
      </c>
      <c r="M2" s="6">
        <v>50.11</v>
      </c>
      <c r="N2" s="3" t="s">
        <v>48</v>
      </c>
    </row>
    <row r="3" spans="1:14">
      <c r="A3" s="3" t="s">
        <v>49</v>
      </c>
      <c r="B3" s="4">
        <v>46352</v>
      </c>
      <c r="C3" s="3" t="s">
        <v>50</v>
      </c>
      <c r="D3" s="3" t="s">
        <v>51</v>
      </c>
      <c r="E3" s="3" t="s">
        <v>45</v>
      </c>
      <c r="F3" s="3" t="s">
        <v>52</v>
      </c>
      <c r="G3" s="3" t="s">
        <v>53</v>
      </c>
      <c r="H3" s="5">
        <v>5</v>
      </c>
      <c r="I3" s="6">
        <v>8.9600000000000009</v>
      </c>
      <c r="J3" s="7">
        <v>0.15</v>
      </c>
      <c r="K3" s="6">
        <v>38.08</v>
      </c>
      <c r="L3" s="6">
        <v>19.260000000000002</v>
      </c>
      <c r="M3" s="6">
        <v>18.82</v>
      </c>
      <c r="N3" s="3" t="s">
        <v>54</v>
      </c>
    </row>
    <row r="4" spans="1:14">
      <c r="A4" s="3" t="s">
        <v>55</v>
      </c>
      <c r="B4" s="4">
        <v>45828</v>
      </c>
      <c r="C4" s="3" t="s">
        <v>56</v>
      </c>
      <c r="D4" s="3" t="s">
        <v>57</v>
      </c>
      <c r="E4" s="3" t="s">
        <v>58</v>
      </c>
      <c r="F4" s="3" t="s">
        <v>52</v>
      </c>
      <c r="G4" s="3" t="s">
        <v>59</v>
      </c>
      <c r="H4" s="5">
        <v>11</v>
      </c>
      <c r="I4" s="6">
        <v>12.83</v>
      </c>
      <c r="J4" s="7">
        <v>0.15</v>
      </c>
      <c r="K4" s="6">
        <v>119.96</v>
      </c>
      <c r="L4" s="6">
        <v>57.86</v>
      </c>
      <c r="M4" s="6">
        <v>62.1</v>
      </c>
      <c r="N4" s="3" t="s">
        <v>48</v>
      </c>
    </row>
    <row r="5" spans="1:14">
      <c r="A5" s="3" t="s">
        <v>60</v>
      </c>
      <c r="B5" s="4">
        <v>46249</v>
      </c>
      <c r="C5" s="3" t="s">
        <v>61</v>
      </c>
      <c r="D5" s="3" t="s">
        <v>62</v>
      </c>
      <c r="E5" s="3" t="s">
        <v>58</v>
      </c>
      <c r="F5" s="3" t="s">
        <v>52</v>
      </c>
      <c r="G5" s="3" t="s">
        <v>53</v>
      </c>
      <c r="H5" s="5">
        <v>3</v>
      </c>
      <c r="I5" s="6">
        <v>8.6300000000000008</v>
      </c>
      <c r="J5" s="7">
        <v>0.15</v>
      </c>
      <c r="K5" s="6">
        <v>22.01</v>
      </c>
      <c r="L5" s="6">
        <v>11.13</v>
      </c>
      <c r="M5" s="6">
        <v>10.88</v>
      </c>
      <c r="N5" s="3" t="s">
        <v>63</v>
      </c>
    </row>
    <row r="6" spans="1:14">
      <c r="A6" s="3" t="s">
        <v>64</v>
      </c>
      <c r="B6" s="4">
        <v>45741</v>
      </c>
      <c r="C6" s="3" t="s">
        <v>50</v>
      </c>
      <c r="D6" s="3" t="s">
        <v>51</v>
      </c>
      <c r="E6" s="3" t="s">
        <v>45</v>
      </c>
      <c r="F6" s="3" t="s">
        <v>52</v>
      </c>
      <c r="G6" s="3" t="s">
        <v>59</v>
      </c>
      <c r="H6" s="5">
        <v>11</v>
      </c>
      <c r="I6" s="6">
        <v>13.15</v>
      </c>
      <c r="J6" s="7">
        <v>0.05</v>
      </c>
      <c r="K6" s="6">
        <v>137.41999999999999</v>
      </c>
      <c r="L6" s="6">
        <v>59.31</v>
      </c>
      <c r="M6" s="6">
        <v>78.11</v>
      </c>
      <c r="N6" s="3" t="s">
        <v>65</v>
      </c>
    </row>
    <row r="7" spans="1:14">
      <c r="A7" s="3" t="s">
        <v>66</v>
      </c>
      <c r="B7" s="4">
        <v>46358</v>
      </c>
      <c r="C7" s="3" t="s">
        <v>67</v>
      </c>
      <c r="D7" s="3" t="s">
        <v>68</v>
      </c>
      <c r="E7" s="3" t="s">
        <v>58</v>
      </c>
      <c r="F7" s="3" t="s">
        <v>69</v>
      </c>
      <c r="G7" s="3" t="s">
        <v>70</v>
      </c>
      <c r="H7" s="5">
        <v>8</v>
      </c>
      <c r="I7" s="6">
        <v>94.17</v>
      </c>
      <c r="J7" s="7">
        <v>0.15</v>
      </c>
      <c r="K7" s="6">
        <v>640.36</v>
      </c>
      <c r="L7" s="6">
        <v>391.75</v>
      </c>
      <c r="M7" s="6">
        <v>248.61</v>
      </c>
      <c r="N7" s="3" t="s">
        <v>48</v>
      </c>
    </row>
    <row r="8" spans="1:14">
      <c r="A8" s="3" t="s">
        <v>71</v>
      </c>
      <c r="B8" s="4">
        <v>45831</v>
      </c>
      <c r="C8" s="3" t="s">
        <v>50</v>
      </c>
      <c r="D8" s="3" t="s">
        <v>51</v>
      </c>
      <c r="E8" s="3" t="s">
        <v>72</v>
      </c>
      <c r="F8" s="3" t="s">
        <v>52</v>
      </c>
      <c r="G8" s="3" t="s">
        <v>59</v>
      </c>
      <c r="H8" s="5">
        <v>6</v>
      </c>
      <c r="I8" s="6">
        <v>10.65</v>
      </c>
      <c r="J8" s="7">
        <v>0.15</v>
      </c>
      <c r="K8" s="6">
        <v>54.32</v>
      </c>
      <c r="L8" s="6">
        <v>26.2</v>
      </c>
      <c r="M8" s="6">
        <v>28.12</v>
      </c>
      <c r="N8" s="3" t="s">
        <v>65</v>
      </c>
    </row>
    <row r="9" spans="1:14">
      <c r="A9" s="3" t="s">
        <v>73</v>
      </c>
      <c r="B9" s="4">
        <v>46329</v>
      </c>
      <c r="C9" s="3" t="s">
        <v>74</v>
      </c>
      <c r="D9" s="3" t="s">
        <v>44</v>
      </c>
      <c r="E9" s="3" t="s">
        <v>72</v>
      </c>
      <c r="F9" s="3" t="s">
        <v>46</v>
      </c>
      <c r="G9" s="3" t="s">
        <v>75</v>
      </c>
      <c r="H9" s="5">
        <v>1</v>
      </c>
      <c r="I9" s="6">
        <v>16.82</v>
      </c>
      <c r="J9" s="7">
        <v>0</v>
      </c>
      <c r="K9" s="6">
        <v>16.82</v>
      </c>
      <c r="L9" s="6">
        <v>8.07</v>
      </c>
      <c r="M9" s="6">
        <v>8.75</v>
      </c>
      <c r="N9" s="3" t="s">
        <v>65</v>
      </c>
    </row>
    <row r="10" spans="1:14">
      <c r="A10" s="3" t="s">
        <v>76</v>
      </c>
      <c r="B10" s="4">
        <v>45874</v>
      </c>
      <c r="C10" s="3" t="s">
        <v>50</v>
      </c>
      <c r="D10" s="3" t="s">
        <v>51</v>
      </c>
      <c r="E10" s="3" t="s">
        <v>58</v>
      </c>
      <c r="F10" s="3" t="s">
        <v>52</v>
      </c>
      <c r="G10" s="3" t="s">
        <v>59</v>
      </c>
      <c r="H10" s="5">
        <v>8</v>
      </c>
      <c r="I10" s="6">
        <v>10.09</v>
      </c>
      <c r="J10" s="7">
        <v>0.05</v>
      </c>
      <c r="K10" s="6">
        <v>76.680000000000007</v>
      </c>
      <c r="L10" s="6">
        <v>33.1</v>
      </c>
      <c r="M10" s="6">
        <v>43.58</v>
      </c>
      <c r="N10" s="3" t="s">
        <v>77</v>
      </c>
    </row>
    <row r="11" spans="1:14">
      <c r="A11" s="3" t="s">
        <v>78</v>
      </c>
      <c r="B11" s="4">
        <v>46159</v>
      </c>
      <c r="C11" s="3" t="s">
        <v>50</v>
      </c>
      <c r="D11" s="3" t="s">
        <v>51</v>
      </c>
      <c r="E11" s="3" t="s">
        <v>72</v>
      </c>
      <c r="F11" s="3" t="s">
        <v>69</v>
      </c>
      <c r="G11" s="3" t="s">
        <v>79</v>
      </c>
      <c r="H11" s="5">
        <v>10</v>
      </c>
      <c r="I11" s="6">
        <v>141.71</v>
      </c>
      <c r="J11" s="7">
        <v>0</v>
      </c>
      <c r="K11" s="6">
        <v>1417.1</v>
      </c>
      <c r="L11" s="6">
        <v>821.92</v>
      </c>
      <c r="M11" s="6">
        <v>595.17999999999995</v>
      </c>
      <c r="N11" s="3" t="s">
        <v>77</v>
      </c>
    </row>
    <row r="12" spans="1:14">
      <c r="A12" s="3" t="s">
        <v>80</v>
      </c>
      <c r="B12" s="4">
        <v>45721</v>
      </c>
      <c r="C12" s="3" t="s">
        <v>74</v>
      </c>
      <c r="D12" s="3" t="s">
        <v>44</v>
      </c>
      <c r="E12" s="3" t="s">
        <v>45</v>
      </c>
      <c r="F12" s="3" t="s">
        <v>69</v>
      </c>
      <c r="G12" s="3" t="s">
        <v>81</v>
      </c>
      <c r="H12" s="5">
        <v>7</v>
      </c>
      <c r="I12" s="6">
        <v>259.88</v>
      </c>
      <c r="J12" s="7">
        <v>0</v>
      </c>
      <c r="K12" s="6">
        <v>1819.16</v>
      </c>
      <c r="L12" s="6">
        <v>1091.5</v>
      </c>
      <c r="M12" s="6">
        <v>727.66</v>
      </c>
      <c r="N12" s="3" t="s">
        <v>63</v>
      </c>
    </row>
    <row r="13" spans="1:14">
      <c r="A13" s="3" t="s">
        <v>82</v>
      </c>
      <c r="B13" s="4">
        <v>46279</v>
      </c>
      <c r="C13" s="3" t="s">
        <v>67</v>
      </c>
      <c r="D13" s="3" t="s">
        <v>68</v>
      </c>
      <c r="E13" s="3" t="s">
        <v>72</v>
      </c>
      <c r="F13" s="3" t="s">
        <v>46</v>
      </c>
      <c r="G13" s="3" t="s">
        <v>75</v>
      </c>
      <c r="H13" s="5">
        <v>2</v>
      </c>
      <c r="I13" s="6">
        <v>16.27</v>
      </c>
      <c r="J13" s="7">
        <v>0.15</v>
      </c>
      <c r="K13" s="6">
        <v>27.66</v>
      </c>
      <c r="L13" s="6">
        <v>15.62</v>
      </c>
      <c r="M13" s="6">
        <v>12.04</v>
      </c>
      <c r="N13" s="3" t="s">
        <v>48</v>
      </c>
    </row>
    <row r="14" spans="1:14">
      <c r="A14" s="3" t="s">
        <v>83</v>
      </c>
      <c r="B14" s="4">
        <v>45871</v>
      </c>
      <c r="C14" s="3" t="s">
        <v>74</v>
      </c>
      <c r="D14" s="3" t="s">
        <v>44</v>
      </c>
      <c r="E14" s="3" t="s">
        <v>72</v>
      </c>
      <c r="F14" s="3" t="s">
        <v>84</v>
      </c>
      <c r="G14" s="3" t="s">
        <v>85</v>
      </c>
      <c r="H14" s="5">
        <v>1</v>
      </c>
      <c r="I14" s="6">
        <v>7.85</v>
      </c>
      <c r="J14" s="7">
        <v>0</v>
      </c>
      <c r="K14" s="6">
        <v>7.85</v>
      </c>
      <c r="L14" s="6">
        <v>3.14</v>
      </c>
      <c r="M14" s="6">
        <v>4.71</v>
      </c>
      <c r="N14" s="3" t="s">
        <v>48</v>
      </c>
    </row>
    <row r="15" spans="1:14">
      <c r="A15" s="3" t="s">
        <v>86</v>
      </c>
      <c r="B15" s="4">
        <v>46229</v>
      </c>
      <c r="C15" s="3" t="s">
        <v>67</v>
      </c>
      <c r="D15" s="3" t="s">
        <v>68</v>
      </c>
      <c r="E15" s="3" t="s">
        <v>58</v>
      </c>
      <c r="F15" s="3" t="s">
        <v>46</v>
      </c>
      <c r="G15" s="3" t="s">
        <v>75</v>
      </c>
      <c r="H15" s="5">
        <v>3</v>
      </c>
      <c r="I15" s="6">
        <v>16.48</v>
      </c>
      <c r="J15" s="7">
        <v>0.05</v>
      </c>
      <c r="K15" s="6">
        <v>46.97</v>
      </c>
      <c r="L15" s="6">
        <v>23.73</v>
      </c>
      <c r="M15" s="6">
        <v>23.24</v>
      </c>
      <c r="N15" s="3" t="s">
        <v>54</v>
      </c>
    </row>
    <row r="16" spans="1:14">
      <c r="A16" s="3" t="s">
        <v>87</v>
      </c>
      <c r="B16" s="4">
        <v>45704</v>
      </c>
      <c r="C16" s="3" t="s">
        <v>61</v>
      </c>
      <c r="D16" s="3" t="s">
        <v>62</v>
      </c>
      <c r="E16" s="3" t="s">
        <v>72</v>
      </c>
      <c r="F16" s="3" t="s">
        <v>69</v>
      </c>
      <c r="G16" s="3" t="s">
        <v>70</v>
      </c>
      <c r="H16" s="5">
        <v>9</v>
      </c>
      <c r="I16" s="6">
        <v>95.54</v>
      </c>
      <c r="J16" s="7">
        <v>0.05</v>
      </c>
      <c r="K16" s="6">
        <v>816.87</v>
      </c>
      <c r="L16" s="6">
        <v>447.13</v>
      </c>
      <c r="M16" s="6">
        <v>369.74</v>
      </c>
      <c r="N16" s="3" t="s">
        <v>88</v>
      </c>
    </row>
    <row r="17" spans="1:14">
      <c r="A17" s="3" t="s">
        <v>89</v>
      </c>
      <c r="B17" s="4">
        <v>46312</v>
      </c>
      <c r="C17" s="3" t="s">
        <v>56</v>
      </c>
      <c r="D17" s="3" t="s">
        <v>57</v>
      </c>
      <c r="E17" s="3" t="s">
        <v>90</v>
      </c>
      <c r="F17" s="3" t="s">
        <v>52</v>
      </c>
      <c r="G17" s="3" t="s">
        <v>91</v>
      </c>
      <c r="H17" s="5">
        <v>6</v>
      </c>
      <c r="I17" s="6">
        <v>20.51</v>
      </c>
      <c r="J17" s="7">
        <v>0.1</v>
      </c>
      <c r="K17" s="6">
        <v>110.75</v>
      </c>
      <c r="L17" s="6">
        <v>60.3</v>
      </c>
      <c r="M17" s="6">
        <v>50.45</v>
      </c>
      <c r="N17" s="3" t="s">
        <v>88</v>
      </c>
    </row>
    <row r="18" spans="1:14">
      <c r="A18" s="3" t="s">
        <v>92</v>
      </c>
      <c r="B18" s="4">
        <v>45851</v>
      </c>
      <c r="C18" s="3" t="s">
        <v>50</v>
      </c>
      <c r="D18" s="3" t="s">
        <v>51</v>
      </c>
      <c r="E18" s="3" t="s">
        <v>72</v>
      </c>
      <c r="F18" s="3" t="s">
        <v>46</v>
      </c>
      <c r="G18" s="3" t="s">
        <v>93</v>
      </c>
      <c r="H18" s="5">
        <v>10</v>
      </c>
      <c r="I18" s="6">
        <v>26.18</v>
      </c>
      <c r="J18" s="7">
        <v>0.05</v>
      </c>
      <c r="K18" s="6">
        <v>248.71</v>
      </c>
      <c r="L18" s="6">
        <v>143.99</v>
      </c>
      <c r="M18" s="6">
        <v>104.72</v>
      </c>
      <c r="N18" s="3" t="s">
        <v>65</v>
      </c>
    </row>
    <row r="19" spans="1:14">
      <c r="A19" s="3" t="s">
        <v>94</v>
      </c>
      <c r="B19" s="4">
        <v>46164</v>
      </c>
      <c r="C19" s="3" t="s">
        <v>56</v>
      </c>
      <c r="D19" s="3" t="s">
        <v>57</v>
      </c>
      <c r="E19" s="3" t="s">
        <v>72</v>
      </c>
      <c r="F19" s="3" t="s">
        <v>46</v>
      </c>
      <c r="G19" s="3" t="s">
        <v>75</v>
      </c>
      <c r="H19" s="5">
        <v>4</v>
      </c>
      <c r="I19" s="6">
        <v>17.29</v>
      </c>
      <c r="J19" s="7">
        <v>0.15</v>
      </c>
      <c r="K19" s="6">
        <v>58.79</v>
      </c>
      <c r="L19" s="6">
        <v>33.200000000000003</v>
      </c>
      <c r="M19" s="6">
        <v>25.59</v>
      </c>
      <c r="N19" s="3" t="s">
        <v>65</v>
      </c>
    </row>
    <row r="20" spans="1:14">
      <c r="A20" s="3" t="s">
        <v>95</v>
      </c>
      <c r="B20" s="4">
        <v>45693</v>
      </c>
      <c r="C20" s="3" t="s">
        <v>56</v>
      </c>
      <c r="D20" s="3" t="s">
        <v>57</v>
      </c>
      <c r="E20" s="3" t="s">
        <v>45</v>
      </c>
      <c r="F20" s="3" t="s">
        <v>84</v>
      </c>
      <c r="G20" s="3" t="s">
        <v>96</v>
      </c>
      <c r="H20" s="5">
        <v>11</v>
      </c>
      <c r="I20" s="6">
        <v>13.02</v>
      </c>
      <c r="J20" s="7">
        <v>0.15</v>
      </c>
      <c r="K20" s="6">
        <v>121.74</v>
      </c>
      <c r="L20" s="6">
        <v>54.42</v>
      </c>
      <c r="M20" s="6">
        <v>67.319999999999993</v>
      </c>
      <c r="N20" s="3" t="s">
        <v>54</v>
      </c>
    </row>
    <row r="21" spans="1:14">
      <c r="A21" s="3" t="s">
        <v>97</v>
      </c>
      <c r="B21" s="4">
        <v>46169</v>
      </c>
      <c r="C21" s="3" t="s">
        <v>56</v>
      </c>
      <c r="D21" s="3" t="s">
        <v>57</v>
      </c>
      <c r="E21" s="3" t="s">
        <v>58</v>
      </c>
      <c r="F21" s="3" t="s">
        <v>46</v>
      </c>
      <c r="G21" s="3" t="s">
        <v>75</v>
      </c>
      <c r="H21" s="5">
        <v>2</v>
      </c>
      <c r="I21" s="6">
        <v>18.36</v>
      </c>
      <c r="J21" s="7">
        <v>0.15</v>
      </c>
      <c r="K21" s="6">
        <v>31.21</v>
      </c>
      <c r="L21" s="6">
        <v>17.63</v>
      </c>
      <c r="M21" s="6">
        <v>13.58</v>
      </c>
      <c r="N21" s="3" t="s">
        <v>63</v>
      </c>
    </row>
    <row r="22" spans="1:14">
      <c r="A22" s="3" t="s">
        <v>98</v>
      </c>
      <c r="B22" s="4">
        <v>45750</v>
      </c>
      <c r="C22" s="3" t="s">
        <v>67</v>
      </c>
      <c r="D22" s="3" t="s">
        <v>68</v>
      </c>
      <c r="E22" s="3" t="s">
        <v>72</v>
      </c>
      <c r="F22" s="3" t="s">
        <v>69</v>
      </c>
      <c r="G22" s="3" t="s">
        <v>79</v>
      </c>
      <c r="H22" s="5">
        <v>12</v>
      </c>
      <c r="I22" s="6">
        <v>139.46</v>
      </c>
      <c r="J22" s="7">
        <v>0.05</v>
      </c>
      <c r="K22" s="6">
        <v>1589.84</v>
      </c>
      <c r="L22" s="6">
        <v>970.64</v>
      </c>
      <c r="M22" s="6">
        <v>619.20000000000005</v>
      </c>
      <c r="N22" s="3" t="s">
        <v>65</v>
      </c>
    </row>
    <row r="23" spans="1:14">
      <c r="A23" s="3" t="s">
        <v>99</v>
      </c>
      <c r="B23" s="4">
        <v>46322</v>
      </c>
      <c r="C23" s="3" t="s">
        <v>56</v>
      </c>
      <c r="D23" s="3" t="s">
        <v>57</v>
      </c>
      <c r="E23" s="3" t="s">
        <v>45</v>
      </c>
      <c r="F23" s="3" t="s">
        <v>46</v>
      </c>
      <c r="G23" s="3" t="s">
        <v>75</v>
      </c>
      <c r="H23" s="5">
        <v>4</v>
      </c>
      <c r="I23" s="6">
        <v>19.66</v>
      </c>
      <c r="J23" s="7">
        <v>0.05</v>
      </c>
      <c r="K23" s="6">
        <v>74.709999999999994</v>
      </c>
      <c r="L23" s="6">
        <v>37.75</v>
      </c>
      <c r="M23" s="6">
        <v>36.96</v>
      </c>
      <c r="N23" s="3" t="s">
        <v>48</v>
      </c>
    </row>
    <row r="24" spans="1:14">
      <c r="A24" s="3" t="s">
        <v>100</v>
      </c>
      <c r="B24" s="4">
        <v>45827</v>
      </c>
      <c r="C24" s="3" t="s">
        <v>67</v>
      </c>
      <c r="D24" s="3" t="s">
        <v>68</v>
      </c>
      <c r="E24" s="3" t="s">
        <v>45</v>
      </c>
      <c r="F24" s="3" t="s">
        <v>52</v>
      </c>
      <c r="G24" s="3" t="s">
        <v>53</v>
      </c>
      <c r="H24" s="5">
        <v>9</v>
      </c>
      <c r="I24" s="6">
        <v>9.0500000000000007</v>
      </c>
      <c r="J24" s="7">
        <v>0.15</v>
      </c>
      <c r="K24" s="6">
        <v>69.23</v>
      </c>
      <c r="L24" s="6">
        <v>35.020000000000003</v>
      </c>
      <c r="M24" s="6">
        <v>34.21</v>
      </c>
      <c r="N24" s="3" t="s">
        <v>63</v>
      </c>
    </row>
    <row r="25" spans="1:14">
      <c r="A25" s="3" t="s">
        <v>101</v>
      </c>
      <c r="B25" s="4">
        <v>46238</v>
      </c>
      <c r="C25" s="3" t="s">
        <v>50</v>
      </c>
      <c r="D25" s="3" t="s">
        <v>51</v>
      </c>
      <c r="E25" s="3" t="s">
        <v>90</v>
      </c>
      <c r="F25" s="3" t="s">
        <v>84</v>
      </c>
      <c r="G25" s="3" t="s">
        <v>96</v>
      </c>
      <c r="H25" s="5">
        <v>8</v>
      </c>
      <c r="I25" s="6">
        <v>11.54</v>
      </c>
      <c r="J25" s="7">
        <v>0</v>
      </c>
      <c r="K25" s="6">
        <v>92.32</v>
      </c>
      <c r="L25" s="6">
        <v>35.08</v>
      </c>
      <c r="M25" s="6">
        <v>57.24</v>
      </c>
      <c r="N25" s="3" t="s">
        <v>88</v>
      </c>
    </row>
    <row r="26" spans="1:14">
      <c r="A26" s="3" t="s">
        <v>102</v>
      </c>
      <c r="B26" s="4">
        <v>45711</v>
      </c>
      <c r="C26" s="3" t="s">
        <v>74</v>
      </c>
      <c r="D26" s="3" t="s">
        <v>44</v>
      </c>
      <c r="E26" s="3" t="s">
        <v>90</v>
      </c>
      <c r="F26" s="3" t="s">
        <v>52</v>
      </c>
      <c r="G26" s="3" t="s">
        <v>59</v>
      </c>
      <c r="H26" s="5">
        <v>9</v>
      </c>
      <c r="I26" s="6">
        <v>13.44</v>
      </c>
      <c r="J26" s="7">
        <v>0.15</v>
      </c>
      <c r="K26" s="6">
        <v>102.82</v>
      </c>
      <c r="L26" s="6">
        <v>49.59</v>
      </c>
      <c r="M26" s="6">
        <v>53.23</v>
      </c>
      <c r="N26" s="3" t="s">
        <v>48</v>
      </c>
    </row>
    <row r="27" spans="1:14">
      <c r="A27" s="3" t="s">
        <v>103</v>
      </c>
      <c r="B27" s="4">
        <v>46328</v>
      </c>
      <c r="C27" s="3" t="s">
        <v>56</v>
      </c>
      <c r="D27" s="3" t="s">
        <v>57</v>
      </c>
      <c r="E27" s="3" t="s">
        <v>72</v>
      </c>
      <c r="F27" s="3" t="s">
        <v>46</v>
      </c>
      <c r="G27" s="3" t="s">
        <v>93</v>
      </c>
      <c r="H27" s="5">
        <v>3</v>
      </c>
      <c r="I27" s="6">
        <v>25.26</v>
      </c>
      <c r="J27" s="7">
        <v>0.1</v>
      </c>
      <c r="K27" s="6">
        <v>68.2</v>
      </c>
      <c r="L27" s="6">
        <v>41.68</v>
      </c>
      <c r="M27" s="6">
        <v>26.52</v>
      </c>
      <c r="N27" s="3" t="s">
        <v>88</v>
      </c>
    </row>
    <row r="28" spans="1:14">
      <c r="A28" s="3" t="s">
        <v>104</v>
      </c>
      <c r="B28" s="4">
        <v>45743</v>
      </c>
      <c r="C28" s="3" t="s">
        <v>56</v>
      </c>
      <c r="D28" s="3" t="s">
        <v>57</v>
      </c>
      <c r="E28" s="3" t="s">
        <v>58</v>
      </c>
      <c r="F28" s="3" t="s">
        <v>46</v>
      </c>
      <c r="G28" s="3" t="s">
        <v>93</v>
      </c>
      <c r="H28" s="5">
        <v>6</v>
      </c>
      <c r="I28" s="6">
        <v>26.06</v>
      </c>
      <c r="J28" s="7">
        <v>0.05</v>
      </c>
      <c r="K28" s="6">
        <v>148.54</v>
      </c>
      <c r="L28" s="6">
        <v>86</v>
      </c>
      <c r="M28" s="6">
        <v>62.54</v>
      </c>
      <c r="N28" s="3" t="s">
        <v>48</v>
      </c>
    </row>
    <row r="29" spans="1:14">
      <c r="A29" s="3" t="s">
        <v>105</v>
      </c>
      <c r="B29" s="4">
        <v>46311</v>
      </c>
      <c r="C29" s="3" t="s">
        <v>74</v>
      </c>
      <c r="D29" s="3" t="s">
        <v>44</v>
      </c>
      <c r="E29" s="3" t="s">
        <v>45</v>
      </c>
      <c r="F29" s="3" t="s">
        <v>84</v>
      </c>
      <c r="G29" s="3" t="s">
        <v>96</v>
      </c>
      <c r="H29" s="5">
        <v>1</v>
      </c>
      <c r="I29" s="6">
        <v>12.49</v>
      </c>
      <c r="J29" s="7">
        <v>0</v>
      </c>
      <c r="K29" s="6">
        <v>12.49</v>
      </c>
      <c r="L29" s="6">
        <v>4.75</v>
      </c>
      <c r="M29" s="6">
        <v>7.74</v>
      </c>
      <c r="N29" s="3" t="s">
        <v>77</v>
      </c>
    </row>
    <row r="30" spans="1:14">
      <c r="A30" s="3" t="s">
        <v>106</v>
      </c>
      <c r="B30" s="4">
        <v>45813</v>
      </c>
      <c r="C30" s="3" t="s">
        <v>61</v>
      </c>
      <c r="D30" s="3" t="s">
        <v>62</v>
      </c>
      <c r="E30" s="3" t="s">
        <v>72</v>
      </c>
      <c r="F30" s="3" t="s">
        <v>52</v>
      </c>
      <c r="G30" s="3" t="s">
        <v>91</v>
      </c>
      <c r="H30" s="5">
        <v>1</v>
      </c>
      <c r="I30" s="6">
        <v>20.47</v>
      </c>
      <c r="J30" s="7">
        <v>0.05</v>
      </c>
      <c r="K30" s="6">
        <v>19.45</v>
      </c>
      <c r="L30" s="6">
        <v>10.029999999999999</v>
      </c>
      <c r="M30" s="6">
        <v>9.42</v>
      </c>
      <c r="N30" s="3" t="s">
        <v>77</v>
      </c>
    </row>
    <row r="31" spans="1:14">
      <c r="A31" s="3" t="s">
        <v>107</v>
      </c>
      <c r="B31" s="4">
        <v>46067</v>
      </c>
      <c r="C31" s="3" t="s">
        <v>50</v>
      </c>
      <c r="D31" s="3" t="s">
        <v>51</v>
      </c>
      <c r="E31" s="3" t="s">
        <v>90</v>
      </c>
      <c r="F31" s="3" t="s">
        <v>69</v>
      </c>
      <c r="G31" s="3" t="s">
        <v>79</v>
      </c>
      <c r="H31" s="5">
        <v>6</v>
      </c>
      <c r="I31" s="6">
        <v>140.75</v>
      </c>
      <c r="J31" s="7">
        <v>0.1</v>
      </c>
      <c r="K31" s="6">
        <v>760.05</v>
      </c>
      <c r="L31" s="6">
        <v>489.81</v>
      </c>
      <c r="M31" s="6">
        <v>270.24</v>
      </c>
      <c r="N31" s="3" t="s">
        <v>48</v>
      </c>
    </row>
    <row r="32" spans="1:14">
      <c r="A32" s="3" t="s">
        <v>108</v>
      </c>
      <c r="B32" s="4">
        <v>45795</v>
      </c>
      <c r="C32" s="3" t="s">
        <v>67</v>
      </c>
      <c r="D32" s="3" t="s">
        <v>68</v>
      </c>
      <c r="E32" s="3" t="s">
        <v>45</v>
      </c>
      <c r="F32" s="3" t="s">
        <v>52</v>
      </c>
      <c r="G32" s="3" t="s">
        <v>59</v>
      </c>
      <c r="H32" s="5">
        <v>10</v>
      </c>
      <c r="I32" s="6">
        <v>10.38</v>
      </c>
      <c r="J32" s="7">
        <v>0.05</v>
      </c>
      <c r="K32" s="6">
        <v>98.61</v>
      </c>
      <c r="L32" s="6">
        <v>42.56</v>
      </c>
      <c r="M32" s="6">
        <v>56.05</v>
      </c>
      <c r="N32" s="3" t="s">
        <v>88</v>
      </c>
    </row>
    <row r="33" spans="1:14">
      <c r="A33" s="3" t="s">
        <v>109</v>
      </c>
      <c r="B33" s="4">
        <v>46114</v>
      </c>
      <c r="C33" s="3" t="s">
        <v>61</v>
      </c>
      <c r="D33" s="3" t="s">
        <v>62</v>
      </c>
      <c r="E33" s="3" t="s">
        <v>90</v>
      </c>
      <c r="F33" s="3" t="s">
        <v>69</v>
      </c>
      <c r="G33" s="3" t="s">
        <v>70</v>
      </c>
      <c r="H33" s="5">
        <v>6</v>
      </c>
      <c r="I33" s="6">
        <v>94.85</v>
      </c>
      <c r="J33" s="7">
        <v>0.05</v>
      </c>
      <c r="K33" s="6">
        <v>540.64</v>
      </c>
      <c r="L33" s="6">
        <v>295.93</v>
      </c>
      <c r="M33" s="6">
        <v>244.71</v>
      </c>
      <c r="N33" s="3" t="s">
        <v>77</v>
      </c>
    </row>
    <row r="34" spans="1:14">
      <c r="A34" s="3" t="s">
        <v>110</v>
      </c>
      <c r="B34" s="4">
        <v>45860</v>
      </c>
      <c r="C34" s="3" t="s">
        <v>50</v>
      </c>
      <c r="D34" s="3" t="s">
        <v>51</v>
      </c>
      <c r="E34" s="3" t="s">
        <v>90</v>
      </c>
      <c r="F34" s="3" t="s">
        <v>69</v>
      </c>
      <c r="G34" s="3" t="s">
        <v>79</v>
      </c>
      <c r="H34" s="5">
        <v>12</v>
      </c>
      <c r="I34" s="6">
        <v>141.15</v>
      </c>
      <c r="J34" s="7">
        <v>0.15</v>
      </c>
      <c r="K34" s="6">
        <v>1439.73</v>
      </c>
      <c r="L34" s="6">
        <v>982.4</v>
      </c>
      <c r="M34" s="6">
        <v>457.33</v>
      </c>
      <c r="N34" s="3" t="s">
        <v>63</v>
      </c>
    </row>
    <row r="35" spans="1:14">
      <c r="A35" s="3" t="s">
        <v>111</v>
      </c>
      <c r="B35" s="4">
        <v>46152</v>
      </c>
      <c r="C35" s="3" t="s">
        <v>50</v>
      </c>
      <c r="D35" s="3" t="s">
        <v>51</v>
      </c>
      <c r="E35" s="3" t="s">
        <v>45</v>
      </c>
      <c r="F35" s="3" t="s">
        <v>52</v>
      </c>
      <c r="G35" s="3" t="s">
        <v>53</v>
      </c>
      <c r="H35" s="5">
        <v>6</v>
      </c>
      <c r="I35" s="6">
        <v>8.33</v>
      </c>
      <c r="J35" s="7">
        <v>0.05</v>
      </c>
      <c r="K35" s="6">
        <v>47.48</v>
      </c>
      <c r="L35" s="6">
        <v>21.49</v>
      </c>
      <c r="M35" s="6">
        <v>25.99</v>
      </c>
      <c r="N35" s="3" t="s">
        <v>77</v>
      </c>
    </row>
    <row r="36" spans="1:14">
      <c r="A36" s="3" t="s">
        <v>112</v>
      </c>
      <c r="B36" s="4">
        <v>45728</v>
      </c>
      <c r="C36" s="3" t="s">
        <v>67</v>
      </c>
      <c r="D36" s="3" t="s">
        <v>68</v>
      </c>
      <c r="E36" s="3" t="s">
        <v>58</v>
      </c>
      <c r="F36" s="3" t="s">
        <v>52</v>
      </c>
      <c r="G36" s="3" t="s">
        <v>91</v>
      </c>
      <c r="H36" s="5">
        <v>7</v>
      </c>
      <c r="I36" s="6">
        <v>21.52</v>
      </c>
      <c r="J36" s="7">
        <v>0.15</v>
      </c>
      <c r="K36" s="6">
        <v>128.04</v>
      </c>
      <c r="L36" s="6">
        <v>73.81</v>
      </c>
      <c r="M36" s="6">
        <v>54.23</v>
      </c>
      <c r="N36" s="3" t="s">
        <v>54</v>
      </c>
    </row>
    <row r="37" spans="1:14">
      <c r="A37" s="3" t="s">
        <v>113</v>
      </c>
      <c r="B37" s="4">
        <v>46138</v>
      </c>
      <c r="C37" s="3" t="s">
        <v>61</v>
      </c>
      <c r="D37" s="3" t="s">
        <v>62</v>
      </c>
      <c r="E37" s="3" t="s">
        <v>58</v>
      </c>
      <c r="F37" s="3" t="s">
        <v>84</v>
      </c>
      <c r="G37" s="3" t="s">
        <v>85</v>
      </c>
      <c r="H37" s="5">
        <v>9</v>
      </c>
      <c r="I37" s="6">
        <v>7.8</v>
      </c>
      <c r="J37" s="7">
        <v>0.15</v>
      </c>
      <c r="K37" s="6">
        <v>59.67</v>
      </c>
      <c r="L37" s="6">
        <v>28.08</v>
      </c>
      <c r="M37" s="6">
        <v>31.59</v>
      </c>
      <c r="N37" s="3" t="s">
        <v>65</v>
      </c>
    </row>
    <row r="38" spans="1:14">
      <c r="A38" s="3" t="s">
        <v>114</v>
      </c>
      <c r="B38" s="4">
        <v>45853</v>
      </c>
      <c r="C38" s="3" t="s">
        <v>50</v>
      </c>
      <c r="D38" s="3" t="s">
        <v>51</v>
      </c>
      <c r="E38" s="3" t="s">
        <v>45</v>
      </c>
      <c r="F38" s="3" t="s">
        <v>84</v>
      </c>
      <c r="G38" s="3" t="s">
        <v>85</v>
      </c>
      <c r="H38" s="5">
        <v>1</v>
      </c>
      <c r="I38" s="6">
        <v>9.0500000000000007</v>
      </c>
      <c r="J38" s="7">
        <v>0.15</v>
      </c>
      <c r="K38" s="6">
        <v>7.69</v>
      </c>
      <c r="L38" s="6">
        <v>3.62</v>
      </c>
      <c r="M38" s="6">
        <v>4.07</v>
      </c>
      <c r="N38" s="3" t="s">
        <v>77</v>
      </c>
    </row>
    <row r="39" spans="1:14">
      <c r="A39" s="3" t="s">
        <v>115</v>
      </c>
      <c r="B39" s="4">
        <v>46185</v>
      </c>
      <c r="C39" s="3" t="s">
        <v>50</v>
      </c>
      <c r="D39" s="3" t="s">
        <v>51</v>
      </c>
      <c r="E39" s="3" t="s">
        <v>72</v>
      </c>
      <c r="F39" s="3" t="s">
        <v>46</v>
      </c>
      <c r="G39" s="3" t="s">
        <v>116</v>
      </c>
      <c r="H39" s="5">
        <v>5</v>
      </c>
      <c r="I39" s="6">
        <v>22.47</v>
      </c>
      <c r="J39" s="7">
        <v>0.05</v>
      </c>
      <c r="K39" s="6">
        <v>106.73</v>
      </c>
      <c r="L39" s="6">
        <v>56.18</v>
      </c>
      <c r="M39" s="6">
        <v>50.55</v>
      </c>
      <c r="N39" s="3" t="s">
        <v>63</v>
      </c>
    </row>
    <row r="40" spans="1:14">
      <c r="A40" s="3" t="s">
        <v>117</v>
      </c>
      <c r="B40" s="4">
        <v>45949</v>
      </c>
      <c r="C40" s="3" t="s">
        <v>56</v>
      </c>
      <c r="D40" s="3" t="s">
        <v>57</v>
      </c>
      <c r="E40" s="3" t="s">
        <v>45</v>
      </c>
      <c r="F40" s="3" t="s">
        <v>84</v>
      </c>
      <c r="G40" s="3" t="s">
        <v>96</v>
      </c>
      <c r="H40" s="5">
        <v>7</v>
      </c>
      <c r="I40" s="6">
        <v>12.29</v>
      </c>
      <c r="J40" s="7">
        <v>0.05</v>
      </c>
      <c r="K40" s="6">
        <v>81.73</v>
      </c>
      <c r="L40" s="6">
        <v>32.69</v>
      </c>
      <c r="M40" s="6">
        <v>49.04</v>
      </c>
      <c r="N40" s="3" t="s">
        <v>48</v>
      </c>
    </row>
    <row r="41" spans="1:14">
      <c r="A41" s="3" t="s">
        <v>118</v>
      </c>
      <c r="B41" s="4">
        <v>46109</v>
      </c>
      <c r="C41" s="3" t="s">
        <v>50</v>
      </c>
      <c r="D41" s="3" t="s">
        <v>51</v>
      </c>
      <c r="E41" s="3" t="s">
        <v>72</v>
      </c>
      <c r="F41" s="3" t="s">
        <v>69</v>
      </c>
      <c r="G41" s="3" t="s">
        <v>79</v>
      </c>
      <c r="H41" s="5">
        <v>4</v>
      </c>
      <c r="I41" s="6">
        <v>139.58000000000001</v>
      </c>
      <c r="J41" s="7">
        <v>0.05</v>
      </c>
      <c r="K41" s="6">
        <v>530.4</v>
      </c>
      <c r="L41" s="6">
        <v>323.83</v>
      </c>
      <c r="M41" s="6">
        <v>206.57</v>
      </c>
      <c r="N41" s="3" t="s">
        <v>88</v>
      </c>
    </row>
    <row r="42" spans="1:14">
      <c r="A42" s="3" t="s">
        <v>119</v>
      </c>
      <c r="B42" s="4">
        <v>45984</v>
      </c>
      <c r="C42" s="3" t="s">
        <v>74</v>
      </c>
      <c r="D42" s="3" t="s">
        <v>44</v>
      </c>
      <c r="E42" s="3" t="s">
        <v>72</v>
      </c>
      <c r="F42" s="3" t="s">
        <v>52</v>
      </c>
      <c r="G42" s="3" t="s">
        <v>53</v>
      </c>
      <c r="H42" s="5">
        <v>1</v>
      </c>
      <c r="I42" s="6">
        <v>9.49</v>
      </c>
      <c r="J42" s="7">
        <v>0.05</v>
      </c>
      <c r="K42" s="6">
        <v>9.02</v>
      </c>
      <c r="L42" s="6">
        <v>4.08</v>
      </c>
      <c r="M42" s="6">
        <v>4.9400000000000004</v>
      </c>
      <c r="N42" s="3" t="s">
        <v>54</v>
      </c>
    </row>
    <row r="43" spans="1:14">
      <c r="A43" s="3" t="s">
        <v>120</v>
      </c>
      <c r="B43" s="4">
        <v>46329</v>
      </c>
      <c r="C43" s="3" t="s">
        <v>121</v>
      </c>
      <c r="D43" s="3" t="s">
        <v>51</v>
      </c>
      <c r="E43" s="3" t="s">
        <v>58</v>
      </c>
      <c r="F43" s="3" t="s">
        <v>69</v>
      </c>
      <c r="G43" s="3" t="s">
        <v>81</v>
      </c>
      <c r="H43" s="5">
        <v>4</v>
      </c>
      <c r="I43" s="6">
        <v>259.99</v>
      </c>
      <c r="J43" s="7">
        <v>0</v>
      </c>
      <c r="K43" s="6">
        <v>1039.96</v>
      </c>
      <c r="L43" s="6">
        <v>623.98</v>
      </c>
      <c r="M43" s="6">
        <v>415.98</v>
      </c>
      <c r="N43" s="3" t="s">
        <v>48</v>
      </c>
    </row>
    <row r="44" spans="1:14">
      <c r="A44" s="3" t="s">
        <v>122</v>
      </c>
      <c r="B44" s="4">
        <v>45709</v>
      </c>
      <c r="C44" s="3" t="s">
        <v>50</v>
      </c>
      <c r="D44" s="3" t="s">
        <v>51</v>
      </c>
      <c r="E44" s="3" t="s">
        <v>90</v>
      </c>
      <c r="F44" s="3" t="s">
        <v>46</v>
      </c>
      <c r="G44" s="3" t="s">
        <v>93</v>
      </c>
      <c r="H44" s="5">
        <v>10</v>
      </c>
      <c r="I44" s="6">
        <v>24.09</v>
      </c>
      <c r="J44" s="7">
        <v>0.1</v>
      </c>
      <c r="K44" s="6">
        <v>216.81</v>
      </c>
      <c r="L44" s="6">
        <v>132.5</v>
      </c>
      <c r="M44" s="6">
        <v>84.31</v>
      </c>
      <c r="N44" s="3" t="s">
        <v>54</v>
      </c>
    </row>
    <row r="45" spans="1:14">
      <c r="A45" s="3" t="s">
        <v>123</v>
      </c>
      <c r="B45" s="4">
        <v>46140</v>
      </c>
      <c r="C45" s="3" t="s">
        <v>61</v>
      </c>
      <c r="D45" s="3" t="s">
        <v>62</v>
      </c>
      <c r="E45" s="3" t="s">
        <v>72</v>
      </c>
      <c r="F45" s="3" t="s">
        <v>69</v>
      </c>
      <c r="G45" s="3" t="s">
        <v>81</v>
      </c>
      <c r="H45" s="5">
        <v>5</v>
      </c>
      <c r="I45" s="6">
        <v>259.64999999999998</v>
      </c>
      <c r="J45" s="7">
        <v>0.05</v>
      </c>
      <c r="K45" s="6">
        <v>1233.3399999999999</v>
      </c>
      <c r="L45" s="6">
        <v>778.95</v>
      </c>
      <c r="M45" s="6">
        <v>454.39</v>
      </c>
      <c r="N45" s="3" t="s">
        <v>54</v>
      </c>
    </row>
    <row r="46" spans="1:14">
      <c r="A46" s="3" t="s">
        <v>124</v>
      </c>
      <c r="B46" s="4">
        <v>45919</v>
      </c>
      <c r="C46" s="3" t="s">
        <v>67</v>
      </c>
      <c r="D46" s="3" t="s">
        <v>68</v>
      </c>
      <c r="E46" s="3" t="s">
        <v>58</v>
      </c>
      <c r="F46" s="3" t="s">
        <v>69</v>
      </c>
      <c r="G46" s="3" t="s">
        <v>81</v>
      </c>
      <c r="H46" s="5">
        <v>8</v>
      </c>
      <c r="I46" s="6">
        <v>260.58999999999997</v>
      </c>
      <c r="J46" s="7">
        <v>0</v>
      </c>
      <c r="K46" s="6">
        <v>2084.7199999999998</v>
      </c>
      <c r="L46" s="6">
        <v>1250.83</v>
      </c>
      <c r="M46" s="6">
        <v>833.89</v>
      </c>
      <c r="N46" s="3" t="s">
        <v>54</v>
      </c>
    </row>
    <row r="47" spans="1:14">
      <c r="A47" s="3" t="s">
        <v>125</v>
      </c>
      <c r="B47" s="4">
        <v>46280</v>
      </c>
      <c r="C47" s="3" t="s">
        <v>50</v>
      </c>
      <c r="D47" s="3" t="s">
        <v>51</v>
      </c>
      <c r="E47" s="3" t="s">
        <v>72</v>
      </c>
      <c r="F47" s="3" t="s">
        <v>69</v>
      </c>
      <c r="G47" s="3" t="s">
        <v>79</v>
      </c>
      <c r="H47" s="5">
        <v>9</v>
      </c>
      <c r="I47" s="6">
        <v>140.22999999999999</v>
      </c>
      <c r="J47" s="7">
        <v>0.05</v>
      </c>
      <c r="K47" s="6">
        <v>1198.97</v>
      </c>
      <c r="L47" s="6">
        <v>732</v>
      </c>
      <c r="M47" s="6">
        <v>466.97</v>
      </c>
      <c r="N47" s="3" t="s">
        <v>77</v>
      </c>
    </row>
    <row r="48" spans="1:14">
      <c r="A48" s="3" t="s">
        <v>126</v>
      </c>
      <c r="B48" s="4">
        <v>45683</v>
      </c>
      <c r="C48" s="3" t="s">
        <v>50</v>
      </c>
      <c r="D48" s="3" t="s">
        <v>51</v>
      </c>
      <c r="E48" s="3" t="s">
        <v>45</v>
      </c>
      <c r="F48" s="3" t="s">
        <v>84</v>
      </c>
      <c r="G48" s="3" t="s">
        <v>85</v>
      </c>
      <c r="H48" s="5">
        <v>5</v>
      </c>
      <c r="I48" s="6">
        <v>7.2</v>
      </c>
      <c r="J48" s="7">
        <v>0</v>
      </c>
      <c r="K48" s="6">
        <v>36</v>
      </c>
      <c r="L48" s="6">
        <v>14.4</v>
      </c>
      <c r="M48" s="6">
        <v>21.6</v>
      </c>
      <c r="N48" s="3" t="s">
        <v>65</v>
      </c>
    </row>
    <row r="49" spans="1:14">
      <c r="A49" s="3" t="s">
        <v>127</v>
      </c>
      <c r="B49" s="4">
        <v>46036</v>
      </c>
      <c r="C49" s="3" t="s">
        <v>67</v>
      </c>
      <c r="D49" s="3" t="s">
        <v>68</v>
      </c>
      <c r="E49" s="3" t="s">
        <v>72</v>
      </c>
      <c r="F49" s="3" t="s">
        <v>52</v>
      </c>
      <c r="G49" s="3" t="s">
        <v>128</v>
      </c>
      <c r="H49" s="5">
        <v>4</v>
      </c>
      <c r="I49" s="6">
        <v>12.44</v>
      </c>
      <c r="J49" s="7">
        <v>0.15</v>
      </c>
      <c r="K49" s="6">
        <v>42.3</v>
      </c>
      <c r="L49" s="6">
        <v>20.399999999999999</v>
      </c>
      <c r="M49" s="6">
        <v>21.9</v>
      </c>
      <c r="N49" s="3" t="s">
        <v>88</v>
      </c>
    </row>
    <row r="50" spans="1:14">
      <c r="A50" s="3" t="s">
        <v>129</v>
      </c>
      <c r="B50" s="4">
        <v>45782</v>
      </c>
      <c r="C50" s="3" t="s">
        <v>56</v>
      </c>
      <c r="D50" s="3" t="s">
        <v>57</v>
      </c>
      <c r="E50" s="3" t="s">
        <v>58</v>
      </c>
      <c r="F50" s="3" t="s">
        <v>52</v>
      </c>
      <c r="G50" s="3" t="s">
        <v>59</v>
      </c>
      <c r="H50" s="5">
        <v>6</v>
      </c>
      <c r="I50" s="6">
        <v>10.53</v>
      </c>
      <c r="J50" s="7">
        <v>0.05</v>
      </c>
      <c r="K50" s="6">
        <v>60.02</v>
      </c>
      <c r="L50" s="6">
        <v>25.9</v>
      </c>
      <c r="M50" s="6">
        <v>34.119999999999997</v>
      </c>
      <c r="N50" s="3" t="s">
        <v>54</v>
      </c>
    </row>
    <row r="51" spans="1:14">
      <c r="A51" s="3" t="s">
        <v>130</v>
      </c>
      <c r="B51" s="4">
        <v>46310</v>
      </c>
      <c r="C51" s="3" t="s">
        <v>61</v>
      </c>
      <c r="D51" s="3" t="s">
        <v>62</v>
      </c>
      <c r="E51" s="3" t="s">
        <v>72</v>
      </c>
      <c r="F51" s="3" t="s">
        <v>52</v>
      </c>
      <c r="G51" s="3" t="s">
        <v>91</v>
      </c>
      <c r="H51" s="5">
        <v>11</v>
      </c>
      <c r="I51" s="6">
        <v>18.27</v>
      </c>
      <c r="J51" s="7">
        <v>0.15</v>
      </c>
      <c r="K51" s="6">
        <v>170.82</v>
      </c>
      <c r="L51" s="6">
        <v>98.48</v>
      </c>
      <c r="M51" s="6">
        <v>72.34</v>
      </c>
      <c r="N51" s="3" t="s">
        <v>54</v>
      </c>
    </row>
    <row r="52" spans="1:14">
      <c r="A52" s="3" t="s">
        <v>131</v>
      </c>
      <c r="B52" s="4">
        <v>45912</v>
      </c>
      <c r="C52" s="3" t="s">
        <v>61</v>
      </c>
      <c r="D52" s="3" t="s">
        <v>62</v>
      </c>
      <c r="E52" s="3" t="s">
        <v>90</v>
      </c>
      <c r="F52" s="3" t="s">
        <v>69</v>
      </c>
      <c r="G52" s="3" t="s">
        <v>70</v>
      </c>
      <c r="H52" s="5">
        <v>7</v>
      </c>
      <c r="I52" s="6">
        <v>96.43</v>
      </c>
      <c r="J52" s="7">
        <v>0.1</v>
      </c>
      <c r="K52" s="6">
        <v>607.51</v>
      </c>
      <c r="L52" s="6">
        <v>351.01</v>
      </c>
      <c r="M52" s="6">
        <v>256.5</v>
      </c>
      <c r="N52" s="3" t="s">
        <v>63</v>
      </c>
    </row>
    <row r="53" spans="1:14">
      <c r="A53" s="3" t="s">
        <v>132</v>
      </c>
      <c r="B53" s="4">
        <v>46096</v>
      </c>
      <c r="C53" s="3" t="s">
        <v>67</v>
      </c>
      <c r="D53" s="3" t="s">
        <v>68</v>
      </c>
      <c r="E53" s="3" t="s">
        <v>45</v>
      </c>
      <c r="F53" s="3" t="s">
        <v>69</v>
      </c>
      <c r="G53" s="3" t="s">
        <v>79</v>
      </c>
      <c r="H53" s="5">
        <v>3</v>
      </c>
      <c r="I53" s="6">
        <v>140.9</v>
      </c>
      <c r="J53" s="7">
        <v>0.15</v>
      </c>
      <c r="K53" s="6">
        <v>359.3</v>
      </c>
      <c r="L53" s="6">
        <v>245.17</v>
      </c>
      <c r="M53" s="6">
        <v>114.13</v>
      </c>
      <c r="N53" s="3" t="s">
        <v>77</v>
      </c>
    </row>
    <row r="54" spans="1:14">
      <c r="A54" s="3" t="s">
        <v>133</v>
      </c>
      <c r="B54" s="4">
        <v>45703</v>
      </c>
      <c r="C54" s="3" t="s">
        <v>61</v>
      </c>
      <c r="D54" s="3" t="s">
        <v>62</v>
      </c>
      <c r="E54" s="3" t="s">
        <v>90</v>
      </c>
      <c r="F54" s="3" t="s">
        <v>84</v>
      </c>
      <c r="G54" s="3" t="s">
        <v>134</v>
      </c>
      <c r="H54" s="5">
        <v>8</v>
      </c>
      <c r="I54" s="6">
        <v>15.18</v>
      </c>
      <c r="J54" s="7">
        <v>0.05</v>
      </c>
      <c r="K54" s="6">
        <v>115.37</v>
      </c>
      <c r="L54" s="6">
        <v>55.86</v>
      </c>
      <c r="M54" s="6">
        <v>59.51</v>
      </c>
      <c r="N54" s="3" t="s">
        <v>63</v>
      </c>
    </row>
    <row r="55" spans="1:14">
      <c r="A55" s="3" t="s">
        <v>135</v>
      </c>
      <c r="B55" s="4">
        <v>46107</v>
      </c>
      <c r="C55" s="3" t="s">
        <v>61</v>
      </c>
      <c r="D55" s="3" t="s">
        <v>62</v>
      </c>
      <c r="E55" s="3" t="s">
        <v>90</v>
      </c>
      <c r="F55" s="3" t="s">
        <v>52</v>
      </c>
      <c r="G55" s="3" t="s">
        <v>53</v>
      </c>
      <c r="H55" s="5">
        <v>9</v>
      </c>
      <c r="I55" s="6">
        <v>9.9</v>
      </c>
      <c r="J55" s="7">
        <v>0.1</v>
      </c>
      <c r="K55" s="6">
        <v>80.19</v>
      </c>
      <c r="L55" s="6">
        <v>38.31</v>
      </c>
      <c r="M55" s="6">
        <v>41.88</v>
      </c>
      <c r="N55" s="3" t="s">
        <v>54</v>
      </c>
    </row>
    <row r="56" spans="1:14">
      <c r="A56" s="3" t="s">
        <v>136</v>
      </c>
      <c r="B56" s="4">
        <v>45937</v>
      </c>
      <c r="C56" s="3" t="s">
        <v>74</v>
      </c>
      <c r="D56" s="3" t="s">
        <v>44</v>
      </c>
      <c r="E56" s="3" t="s">
        <v>90</v>
      </c>
      <c r="F56" s="3" t="s">
        <v>84</v>
      </c>
      <c r="G56" s="3" t="s">
        <v>96</v>
      </c>
      <c r="H56" s="5">
        <v>1</v>
      </c>
      <c r="I56" s="6">
        <v>13.21</v>
      </c>
      <c r="J56" s="7">
        <v>0.1</v>
      </c>
      <c r="K56" s="6">
        <v>11.89</v>
      </c>
      <c r="L56" s="6">
        <v>5.0199999999999996</v>
      </c>
      <c r="M56" s="6">
        <v>6.87</v>
      </c>
      <c r="N56" s="3" t="s">
        <v>48</v>
      </c>
    </row>
    <row r="57" spans="1:14">
      <c r="A57" s="3" t="s">
        <v>137</v>
      </c>
      <c r="B57" s="4">
        <v>46139</v>
      </c>
      <c r="C57" s="3" t="s">
        <v>56</v>
      </c>
      <c r="D57" s="3" t="s">
        <v>57</v>
      </c>
      <c r="E57" s="3" t="s">
        <v>72</v>
      </c>
      <c r="F57" s="3" t="s">
        <v>46</v>
      </c>
      <c r="G57" s="3" t="s">
        <v>116</v>
      </c>
      <c r="H57" s="5">
        <v>1</v>
      </c>
      <c r="I57" s="6">
        <v>21.78</v>
      </c>
      <c r="J57" s="7">
        <v>0</v>
      </c>
      <c r="K57" s="6">
        <v>21.78</v>
      </c>
      <c r="L57" s="6">
        <v>10.89</v>
      </c>
      <c r="M57" s="6">
        <v>10.89</v>
      </c>
      <c r="N57" s="3" t="s">
        <v>88</v>
      </c>
    </row>
    <row r="58" spans="1:14">
      <c r="A58" s="3" t="s">
        <v>138</v>
      </c>
      <c r="B58" s="4">
        <v>45955</v>
      </c>
      <c r="C58" s="3" t="s">
        <v>56</v>
      </c>
      <c r="D58" s="3" t="s">
        <v>57</v>
      </c>
      <c r="E58" s="3" t="s">
        <v>58</v>
      </c>
      <c r="F58" s="3" t="s">
        <v>52</v>
      </c>
      <c r="G58" s="3" t="s">
        <v>91</v>
      </c>
      <c r="H58" s="5">
        <v>6</v>
      </c>
      <c r="I58" s="6">
        <v>18.12</v>
      </c>
      <c r="J58" s="7">
        <v>0</v>
      </c>
      <c r="K58" s="6">
        <v>108.72</v>
      </c>
      <c r="L58" s="6">
        <v>53.27</v>
      </c>
      <c r="M58" s="6">
        <v>55.45</v>
      </c>
      <c r="N58" s="3" t="s">
        <v>63</v>
      </c>
    </row>
    <row r="59" spans="1:14">
      <c r="A59" s="3" t="s">
        <v>139</v>
      </c>
      <c r="B59" s="4">
        <v>46161</v>
      </c>
      <c r="C59" s="3" t="s">
        <v>61</v>
      </c>
      <c r="D59" s="3" t="s">
        <v>62</v>
      </c>
      <c r="E59" s="3" t="s">
        <v>90</v>
      </c>
      <c r="F59" s="3" t="s">
        <v>52</v>
      </c>
      <c r="G59" s="3" t="s">
        <v>59</v>
      </c>
      <c r="H59" s="5">
        <v>12</v>
      </c>
      <c r="I59" s="6">
        <v>12.86</v>
      </c>
      <c r="J59" s="7">
        <v>0.05</v>
      </c>
      <c r="K59" s="6">
        <v>146.6</v>
      </c>
      <c r="L59" s="6">
        <v>63.27</v>
      </c>
      <c r="M59" s="6">
        <v>83.33</v>
      </c>
      <c r="N59" s="3" t="s">
        <v>54</v>
      </c>
    </row>
    <row r="60" spans="1:14">
      <c r="A60" s="3" t="s">
        <v>140</v>
      </c>
      <c r="B60" s="4">
        <v>45850</v>
      </c>
      <c r="C60" s="3" t="s">
        <v>56</v>
      </c>
      <c r="D60" s="3" t="s">
        <v>57</v>
      </c>
      <c r="E60" s="3" t="s">
        <v>58</v>
      </c>
      <c r="F60" s="3" t="s">
        <v>69</v>
      </c>
      <c r="G60" s="3" t="s">
        <v>79</v>
      </c>
      <c r="H60" s="5">
        <v>5</v>
      </c>
      <c r="I60" s="6">
        <v>138.68</v>
      </c>
      <c r="J60" s="7">
        <v>0.1</v>
      </c>
      <c r="K60" s="6">
        <v>624.05999999999995</v>
      </c>
      <c r="L60" s="6">
        <v>402.17</v>
      </c>
      <c r="M60" s="6">
        <v>221.89</v>
      </c>
      <c r="N60" s="3" t="s">
        <v>48</v>
      </c>
    </row>
    <row r="61" spans="1:14">
      <c r="A61" s="3" t="s">
        <v>141</v>
      </c>
      <c r="B61" s="4">
        <v>46306</v>
      </c>
      <c r="C61" s="3" t="s">
        <v>50</v>
      </c>
      <c r="D61" s="3" t="s">
        <v>51</v>
      </c>
      <c r="E61" s="3" t="s">
        <v>90</v>
      </c>
      <c r="F61" s="3" t="s">
        <v>69</v>
      </c>
      <c r="G61" s="3" t="s">
        <v>81</v>
      </c>
      <c r="H61" s="5">
        <v>1</v>
      </c>
      <c r="I61" s="6">
        <v>260.76</v>
      </c>
      <c r="J61" s="7">
        <v>0.1</v>
      </c>
      <c r="K61" s="6">
        <v>234.68</v>
      </c>
      <c r="L61" s="6">
        <v>156.46</v>
      </c>
      <c r="M61" s="6">
        <v>78.22</v>
      </c>
      <c r="N61" s="3" t="s">
        <v>48</v>
      </c>
    </row>
    <row r="62" spans="1:14">
      <c r="A62" s="3" t="s">
        <v>142</v>
      </c>
      <c r="B62" s="4">
        <v>45858</v>
      </c>
      <c r="C62" s="3" t="s">
        <v>50</v>
      </c>
      <c r="D62" s="3" t="s">
        <v>51</v>
      </c>
      <c r="E62" s="3" t="s">
        <v>58</v>
      </c>
      <c r="F62" s="3" t="s">
        <v>69</v>
      </c>
      <c r="G62" s="3" t="s">
        <v>70</v>
      </c>
      <c r="H62" s="5">
        <v>3</v>
      </c>
      <c r="I62" s="6">
        <v>95.6</v>
      </c>
      <c r="J62" s="7">
        <v>0</v>
      </c>
      <c r="K62" s="6">
        <v>286.8</v>
      </c>
      <c r="L62" s="6">
        <v>149.13999999999999</v>
      </c>
      <c r="M62" s="6">
        <v>137.66</v>
      </c>
      <c r="N62" s="3" t="s">
        <v>88</v>
      </c>
    </row>
    <row r="63" spans="1:14">
      <c r="A63" s="3" t="s">
        <v>143</v>
      </c>
      <c r="B63" s="4">
        <v>46125</v>
      </c>
      <c r="C63" s="3" t="s">
        <v>61</v>
      </c>
      <c r="D63" s="3" t="s">
        <v>62</v>
      </c>
      <c r="E63" s="3" t="s">
        <v>72</v>
      </c>
      <c r="F63" s="3" t="s">
        <v>46</v>
      </c>
      <c r="G63" s="3" t="s">
        <v>93</v>
      </c>
      <c r="H63" s="5">
        <v>9</v>
      </c>
      <c r="I63" s="6">
        <v>23.74</v>
      </c>
      <c r="J63" s="7">
        <v>0.1</v>
      </c>
      <c r="K63" s="6">
        <v>192.29</v>
      </c>
      <c r="L63" s="6">
        <v>117.51</v>
      </c>
      <c r="M63" s="6">
        <v>74.78</v>
      </c>
      <c r="N63" s="3" t="s">
        <v>77</v>
      </c>
    </row>
    <row r="64" spans="1:14">
      <c r="A64" s="3" t="s">
        <v>144</v>
      </c>
      <c r="B64" s="4">
        <v>45926</v>
      </c>
      <c r="C64" s="3" t="s">
        <v>67</v>
      </c>
      <c r="D64" s="3" t="s">
        <v>68</v>
      </c>
      <c r="E64" s="3" t="s">
        <v>72</v>
      </c>
      <c r="F64" s="3" t="s">
        <v>52</v>
      </c>
      <c r="G64" s="3" t="s">
        <v>53</v>
      </c>
      <c r="H64" s="5">
        <v>5</v>
      </c>
      <c r="I64" s="6">
        <v>11.23</v>
      </c>
      <c r="J64" s="7">
        <v>0.05</v>
      </c>
      <c r="K64" s="6">
        <v>53.34</v>
      </c>
      <c r="L64" s="6">
        <v>24.14</v>
      </c>
      <c r="M64" s="6">
        <v>29.2</v>
      </c>
      <c r="N64" s="3" t="s">
        <v>77</v>
      </c>
    </row>
    <row r="65" spans="1:14">
      <c r="A65" s="3" t="s">
        <v>145</v>
      </c>
      <c r="B65" s="4">
        <v>46306</v>
      </c>
      <c r="C65" s="3" t="s">
        <v>67</v>
      </c>
      <c r="D65" s="3" t="s">
        <v>68</v>
      </c>
      <c r="E65" s="3" t="s">
        <v>45</v>
      </c>
      <c r="F65" s="3" t="s">
        <v>46</v>
      </c>
      <c r="G65" s="3" t="s">
        <v>93</v>
      </c>
      <c r="H65" s="5">
        <v>6</v>
      </c>
      <c r="I65" s="6">
        <v>24.58</v>
      </c>
      <c r="J65" s="7">
        <v>0.05</v>
      </c>
      <c r="K65" s="6">
        <v>140.11000000000001</v>
      </c>
      <c r="L65" s="6">
        <v>81.11</v>
      </c>
      <c r="M65" s="6">
        <v>59</v>
      </c>
      <c r="N65" s="3" t="s">
        <v>54</v>
      </c>
    </row>
    <row r="66" spans="1:14">
      <c r="A66" s="3" t="s">
        <v>146</v>
      </c>
      <c r="B66" s="4">
        <v>45887</v>
      </c>
      <c r="C66" s="3" t="s">
        <v>61</v>
      </c>
      <c r="D66" s="3" t="s">
        <v>62</v>
      </c>
      <c r="E66" s="3" t="s">
        <v>45</v>
      </c>
      <c r="F66" s="3" t="s">
        <v>52</v>
      </c>
      <c r="G66" s="3" t="s">
        <v>59</v>
      </c>
      <c r="H66" s="5">
        <v>8</v>
      </c>
      <c r="I66" s="6">
        <v>10.71</v>
      </c>
      <c r="J66" s="7">
        <v>0.05</v>
      </c>
      <c r="K66" s="6">
        <v>81.400000000000006</v>
      </c>
      <c r="L66" s="6">
        <v>35.130000000000003</v>
      </c>
      <c r="M66" s="6">
        <v>46.27</v>
      </c>
      <c r="N66" s="3" t="s">
        <v>77</v>
      </c>
    </row>
    <row r="67" spans="1:14">
      <c r="A67" s="3" t="s">
        <v>147</v>
      </c>
      <c r="B67" s="4">
        <v>46291</v>
      </c>
      <c r="C67" s="3" t="s">
        <v>56</v>
      </c>
      <c r="D67" s="3" t="s">
        <v>57</v>
      </c>
      <c r="E67" s="3" t="s">
        <v>90</v>
      </c>
      <c r="F67" s="3" t="s">
        <v>84</v>
      </c>
      <c r="G67" s="3" t="s">
        <v>96</v>
      </c>
      <c r="H67" s="5">
        <v>1</v>
      </c>
      <c r="I67" s="6">
        <v>11.4</v>
      </c>
      <c r="J67" s="7">
        <v>0</v>
      </c>
      <c r="K67" s="6">
        <v>11.4</v>
      </c>
      <c r="L67" s="6">
        <v>4.33</v>
      </c>
      <c r="M67" s="6">
        <v>7.07</v>
      </c>
      <c r="N67" s="3" t="s">
        <v>88</v>
      </c>
    </row>
    <row r="68" spans="1:14">
      <c r="A68" s="3" t="s">
        <v>148</v>
      </c>
      <c r="B68" s="4">
        <v>45864</v>
      </c>
      <c r="C68" s="3" t="s">
        <v>56</v>
      </c>
      <c r="D68" s="3" t="s">
        <v>57</v>
      </c>
      <c r="E68" s="3" t="s">
        <v>58</v>
      </c>
      <c r="F68" s="3" t="s">
        <v>84</v>
      </c>
      <c r="G68" s="3" t="s">
        <v>96</v>
      </c>
      <c r="H68" s="5">
        <v>8</v>
      </c>
      <c r="I68" s="6">
        <v>12.11</v>
      </c>
      <c r="J68" s="7">
        <v>0.15</v>
      </c>
      <c r="K68" s="6">
        <v>82.35</v>
      </c>
      <c r="L68" s="6">
        <v>36.81</v>
      </c>
      <c r="M68" s="6">
        <v>45.54</v>
      </c>
      <c r="N68" s="3" t="s">
        <v>65</v>
      </c>
    </row>
    <row r="69" spans="1:14">
      <c r="A69" s="3" t="s">
        <v>149</v>
      </c>
      <c r="B69" s="4">
        <v>46283</v>
      </c>
      <c r="C69" s="3" t="s">
        <v>56</v>
      </c>
      <c r="D69" s="3" t="s">
        <v>57</v>
      </c>
      <c r="E69" s="3" t="s">
        <v>72</v>
      </c>
      <c r="F69" s="3" t="s">
        <v>84</v>
      </c>
      <c r="G69" s="3" t="s">
        <v>85</v>
      </c>
      <c r="H69" s="5">
        <v>3</v>
      </c>
      <c r="I69" s="6">
        <v>9.18</v>
      </c>
      <c r="J69" s="7">
        <v>0</v>
      </c>
      <c r="K69" s="6">
        <v>27.54</v>
      </c>
      <c r="L69" s="6">
        <v>11.02</v>
      </c>
      <c r="M69" s="6">
        <v>16.52</v>
      </c>
      <c r="N69" s="3" t="s">
        <v>48</v>
      </c>
    </row>
    <row r="70" spans="1:14">
      <c r="A70" s="3" t="s">
        <v>150</v>
      </c>
      <c r="B70" s="4">
        <v>45754</v>
      </c>
      <c r="C70" s="3" t="s">
        <v>74</v>
      </c>
      <c r="D70" s="3" t="s">
        <v>44</v>
      </c>
      <c r="E70" s="3" t="s">
        <v>90</v>
      </c>
      <c r="F70" s="3" t="s">
        <v>69</v>
      </c>
      <c r="G70" s="3" t="s">
        <v>70</v>
      </c>
      <c r="H70" s="5">
        <v>6</v>
      </c>
      <c r="I70" s="6">
        <v>94.54</v>
      </c>
      <c r="J70" s="7">
        <v>0.1</v>
      </c>
      <c r="K70" s="6">
        <v>510.52</v>
      </c>
      <c r="L70" s="6">
        <v>294.95999999999998</v>
      </c>
      <c r="M70" s="6">
        <v>215.56</v>
      </c>
      <c r="N70" s="3" t="s">
        <v>63</v>
      </c>
    </row>
    <row r="71" spans="1:14">
      <c r="A71" s="3" t="s">
        <v>151</v>
      </c>
      <c r="B71" s="4">
        <v>46102</v>
      </c>
      <c r="C71" s="3" t="s">
        <v>67</v>
      </c>
      <c r="D71" s="3" t="s">
        <v>68</v>
      </c>
      <c r="E71" s="3" t="s">
        <v>72</v>
      </c>
      <c r="F71" s="3" t="s">
        <v>46</v>
      </c>
      <c r="G71" s="3" t="s">
        <v>116</v>
      </c>
      <c r="H71" s="5">
        <v>8</v>
      </c>
      <c r="I71" s="6">
        <v>22.56</v>
      </c>
      <c r="J71" s="7">
        <v>0.1</v>
      </c>
      <c r="K71" s="6">
        <v>162.43</v>
      </c>
      <c r="L71" s="6">
        <v>90.24</v>
      </c>
      <c r="M71" s="6">
        <v>72.19</v>
      </c>
      <c r="N71" s="3" t="s">
        <v>63</v>
      </c>
    </row>
    <row r="72" spans="1:14">
      <c r="A72" s="3" t="s">
        <v>152</v>
      </c>
      <c r="B72" s="4">
        <v>45956</v>
      </c>
      <c r="C72" s="3" t="s">
        <v>61</v>
      </c>
      <c r="D72" s="3" t="s">
        <v>62</v>
      </c>
      <c r="E72" s="3" t="s">
        <v>90</v>
      </c>
      <c r="F72" s="3" t="s">
        <v>46</v>
      </c>
      <c r="G72" s="3" t="s">
        <v>93</v>
      </c>
      <c r="H72" s="5">
        <v>5</v>
      </c>
      <c r="I72" s="6">
        <v>25.79</v>
      </c>
      <c r="J72" s="7">
        <v>0.05</v>
      </c>
      <c r="K72" s="6">
        <v>122.5</v>
      </c>
      <c r="L72" s="6">
        <v>70.92</v>
      </c>
      <c r="M72" s="6">
        <v>51.58</v>
      </c>
      <c r="N72" s="3" t="s">
        <v>48</v>
      </c>
    </row>
    <row r="73" spans="1:14">
      <c r="A73" s="3" t="s">
        <v>153</v>
      </c>
      <c r="B73" s="4">
        <v>46024</v>
      </c>
      <c r="C73" s="3" t="s">
        <v>61</v>
      </c>
      <c r="D73" s="3" t="s">
        <v>62</v>
      </c>
      <c r="E73" s="3" t="s">
        <v>58</v>
      </c>
      <c r="F73" s="3" t="s">
        <v>69</v>
      </c>
      <c r="G73" s="3" t="s">
        <v>81</v>
      </c>
      <c r="H73" s="5">
        <v>2</v>
      </c>
      <c r="I73" s="6">
        <v>259.04000000000002</v>
      </c>
      <c r="J73" s="7">
        <v>0</v>
      </c>
      <c r="K73" s="6">
        <v>518.08000000000004</v>
      </c>
      <c r="L73" s="6">
        <v>310.85000000000002</v>
      </c>
      <c r="M73" s="6">
        <v>207.23</v>
      </c>
      <c r="N73" s="3" t="s">
        <v>88</v>
      </c>
    </row>
    <row r="74" spans="1:14">
      <c r="A74" s="3" t="s">
        <v>154</v>
      </c>
      <c r="B74" s="4">
        <v>45704</v>
      </c>
      <c r="C74" s="3" t="s">
        <v>56</v>
      </c>
      <c r="D74" s="3" t="s">
        <v>57</v>
      </c>
      <c r="E74" s="3" t="s">
        <v>90</v>
      </c>
      <c r="F74" s="3" t="s">
        <v>69</v>
      </c>
      <c r="G74" s="3" t="s">
        <v>70</v>
      </c>
      <c r="H74" s="5">
        <v>3</v>
      </c>
      <c r="I74" s="6">
        <v>95.5</v>
      </c>
      <c r="J74" s="7">
        <v>0.15</v>
      </c>
      <c r="K74" s="6">
        <v>243.53</v>
      </c>
      <c r="L74" s="6">
        <v>148.97999999999999</v>
      </c>
      <c r="M74" s="6">
        <v>94.55</v>
      </c>
      <c r="N74" s="3" t="s">
        <v>48</v>
      </c>
    </row>
    <row r="75" spans="1:14">
      <c r="A75" s="3" t="s">
        <v>155</v>
      </c>
      <c r="B75" s="4">
        <v>46158</v>
      </c>
      <c r="C75" s="3" t="s">
        <v>56</v>
      </c>
      <c r="D75" s="3" t="s">
        <v>57</v>
      </c>
      <c r="E75" s="3" t="s">
        <v>72</v>
      </c>
      <c r="F75" s="3" t="s">
        <v>84</v>
      </c>
      <c r="G75" s="3" t="s">
        <v>85</v>
      </c>
      <c r="H75" s="5">
        <v>11</v>
      </c>
      <c r="I75" s="6">
        <v>9.67</v>
      </c>
      <c r="J75" s="7">
        <v>0.15</v>
      </c>
      <c r="K75" s="6">
        <v>90.41</v>
      </c>
      <c r="L75" s="6">
        <v>42.55</v>
      </c>
      <c r="M75" s="6">
        <v>47.86</v>
      </c>
      <c r="N75" s="3" t="s">
        <v>54</v>
      </c>
    </row>
    <row r="76" spans="1:14">
      <c r="A76" s="3" t="s">
        <v>156</v>
      </c>
      <c r="B76" s="4">
        <v>45835</v>
      </c>
      <c r="C76" s="3" t="s">
        <v>74</v>
      </c>
      <c r="D76" s="3" t="s">
        <v>44</v>
      </c>
      <c r="E76" s="3" t="s">
        <v>58</v>
      </c>
      <c r="F76" s="3" t="s">
        <v>52</v>
      </c>
      <c r="G76" s="3" t="s">
        <v>59</v>
      </c>
      <c r="H76" s="5">
        <v>9</v>
      </c>
      <c r="I76" s="6">
        <v>13.9</v>
      </c>
      <c r="J76" s="7">
        <v>0.15</v>
      </c>
      <c r="K76" s="6">
        <v>106.34</v>
      </c>
      <c r="L76" s="6">
        <v>51.29</v>
      </c>
      <c r="M76" s="6">
        <v>55.05</v>
      </c>
      <c r="N76" s="3" t="s">
        <v>65</v>
      </c>
    </row>
    <row r="77" spans="1:14">
      <c r="A77" s="3" t="s">
        <v>157</v>
      </c>
      <c r="B77" s="4">
        <v>46080</v>
      </c>
      <c r="C77" s="3" t="s">
        <v>67</v>
      </c>
      <c r="D77" s="3" t="s">
        <v>68</v>
      </c>
      <c r="E77" s="3" t="s">
        <v>72</v>
      </c>
      <c r="F77" s="3" t="s">
        <v>52</v>
      </c>
      <c r="G77" s="3" t="s">
        <v>53</v>
      </c>
      <c r="H77" s="5">
        <v>8</v>
      </c>
      <c r="I77" s="6">
        <v>9.39</v>
      </c>
      <c r="J77" s="7">
        <v>0</v>
      </c>
      <c r="K77" s="6">
        <v>75.12</v>
      </c>
      <c r="L77" s="6">
        <v>32.299999999999997</v>
      </c>
      <c r="M77" s="6">
        <v>42.82</v>
      </c>
      <c r="N77" s="3" t="s">
        <v>77</v>
      </c>
    </row>
    <row r="78" spans="1:14">
      <c r="A78" s="3" t="s">
        <v>158</v>
      </c>
      <c r="B78" s="4">
        <v>45767</v>
      </c>
      <c r="C78" s="3" t="s">
        <v>50</v>
      </c>
      <c r="D78" s="3" t="s">
        <v>51</v>
      </c>
      <c r="E78" s="3" t="s">
        <v>45</v>
      </c>
      <c r="F78" s="3" t="s">
        <v>69</v>
      </c>
      <c r="G78" s="3" t="s">
        <v>81</v>
      </c>
      <c r="H78" s="5">
        <v>9</v>
      </c>
      <c r="I78" s="6">
        <v>258.5</v>
      </c>
      <c r="J78" s="7">
        <v>0</v>
      </c>
      <c r="K78" s="6">
        <v>2326.5</v>
      </c>
      <c r="L78" s="6">
        <v>1395.9</v>
      </c>
      <c r="M78" s="6">
        <v>930.6</v>
      </c>
      <c r="N78" s="3" t="s">
        <v>48</v>
      </c>
    </row>
    <row r="79" spans="1:14">
      <c r="A79" s="3" t="s">
        <v>159</v>
      </c>
      <c r="B79" s="4">
        <v>46374</v>
      </c>
      <c r="C79" s="3" t="s">
        <v>74</v>
      </c>
      <c r="D79" s="3" t="s">
        <v>44</v>
      </c>
      <c r="E79" s="3" t="s">
        <v>45</v>
      </c>
      <c r="F79" s="3" t="s">
        <v>52</v>
      </c>
      <c r="G79" s="3" t="s">
        <v>53</v>
      </c>
      <c r="H79" s="5">
        <v>7</v>
      </c>
      <c r="I79" s="6">
        <v>8.2799999999999994</v>
      </c>
      <c r="J79" s="7">
        <v>0.05</v>
      </c>
      <c r="K79" s="6">
        <v>55.06</v>
      </c>
      <c r="L79" s="6">
        <v>24.92</v>
      </c>
      <c r="M79" s="6">
        <v>30.14</v>
      </c>
      <c r="N79" s="3" t="s">
        <v>48</v>
      </c>
    </row>
    <row r="80" spans="1:14">
      <c r="A80" s="3" t="s">
        <v>160</v>
      </c>
      <c r="B80" s="4">
        <v>45779</v>
      </c>
      <c r="C80" s="3" t="s">
        <v>56</v>
      </c>
      <c r="D80" s="3" t="s">
        <v>57</v>
      </c>
      <c r="E80" s="3" t="s">
        <v>58</v>
      </c>
      <c r="F80" s="3" t="s">
        <v>69</v>
      </c>
      <c r="G80" s="3" t="s">
        <v>81</v>
      </c>
      <c r="H80" s="5">
        <v>12</v>
      </c>
      <c r="I80" s="6">
        <v>261.44</v>
      </c>
      <c r="J80" s="7">
        <v>0.1</v>
      </c>
      <c r="K80" s="6">
        <v>2823.55</v>
      </c>
      <c r="L80" s="6">
        <v>1882.37</v>
      </c>
      <c r="M80" s="6">
        <v>941.18</v>
      </c>
      <c r="N80" s="3" t="s">
        <v>77</v>
      </c>
    </row>
    <row r="81" spans="1:14">
      <c r="A81" s="3" t="s">
        <v>161</v>
      </c>
      <c r="B81" s="4">
        <v>46359</v>
      </c>
      <c r="C81" s="3" t="s">
        <v>67</v>
      </c>
      <c r="D81" s="3" t="s">
        <v>68</v>
      </c>
      <c r="E81" s="3" t="s">
        <v>45</v>
      </c>
      <c r="F81" s="3" t="s">
        <v>46</v>
      </c>
      <c r="G81" s="3" t="s">
        <v>93</v>
      </c>
      <c r="H81" s="5">
        <v>7</v>
      </c>
      <c r="I81" s="6">
        <v>26.82</v>
      </c>
      <c r="J81" s="7">
        <v>0.05</v>
      </c>
      <c r="K81" s="6">
        <v>178.35</v>
      </c>
      <c r="L81" s="6">
        <v>103.26</v>
      </c>
      <c r="M81" s="6">
        <v>75.09</v>
      </c>
      <c r="N81" s="3" t="s">
        <v>88</v>
      </c>
    </row>
    <row r="82" spans="1:14">
      <c r="A82" s="3" t="s">
        <v>162</v>
      </c>
      <c r="B82" s="4">
        <v>45695</v>
      </c>
      <c r="C82" s="3" t="s">
        <v>67</v>
      </c>
      <c r="D82" s="3" t="s">
        <v>68</v>
      </c>
      <c r="E82" s="3" t="s">
        <v>58</v>
      </c>
      <c r="F82" s="3" t="s">
        <v>69</v>
      </c>
      <c r="G82" s="3" t="s">
        <v>79</v>
      </c>
      <c r="H82" s="5">
        <v>12</v>
      </c>
      <c r="I82" s="6">
        <v>141.94999999999999</v>
      </c>
      <c r="J82" s="7">
        <v>0.15</v>
      </c>
      <c r="K82" s="6">
        <v>1447.89</v>
      </c>
      <c r="L82" s="6">
        <v>987.97</v>
      </c>
      <c r="M82" s="6">
        <v>459.92</v>
      </c>
      <c r="N82" s="3" t="s">
        <v>54</v>
      </c>
    </row>
    <row r="83" spans="1:14">
      <c r="A83" s="3" t="s">
        <v>163</v>
      </c>
      <c r="B83" s="4">
        <v>46056</v>
      </c>
      <c r="C83" s="3" t="s">
        <v>56</v>
      </c>
      <c r="D83" s="3" t="s">
        <v>57</v>
      </c>
      <c r="E83" s="3" t="s">
        <v>72</v>
      </c>
      <c r="F83" s="3" t="s">
        <v>52</v>
      </c>
      <c r="G83" s="3" t="s">
        <v>59</v>
      </c>
      <c r="H83" s="5">
        <v>1</v>
      </c>
      <c r="I83" s="6">
        <v>10.87</v>
      </c>
      <c r="J83" s="7">
        <v>0.05</v>
      </c>
      <c r="K83" s="6">
        <v>10.33</v>
      </c>
      <c r="L83" s="6">
        <v>4.46</v>
      </c>
      <c r="M83" s="6">
        <v>5.87</v>
      </c>
      <c r="N83" s="3" t="s">
        <v>77</v>
      </c>
    </row>
    <row r="84" spans="1:14">
      <c r="A84" s="3" t="s">
        <v>164</v>
      </c>
      <c r="B84" s="4">
        <v>45685</v>
      </c>
      <c r="C84" s="3" t="s">
        <v>165</v>
      </c>
      <c r="D84" s="3" t="s">
        <v>57</v>
      </c>
      <c r="E84" s="3" t="s">
        <v>45</v>
      </c>
      <c r="F84" s="3" t="s">
        <v>84</v>
      </c>
      <c r="G84" s="3" t="s">
        <v>85</v>
      </c>
      <c r="H84" s="5">
        <v>11</v>
      </c>
      <c r="I84" s="6">
        <v>8.49</v>
      </c>
      <c r="J84" s="7">
        <v>0.05</v>
      </c>
      <c r="K84" s="6">
        <v>88.72</v>
      </c>
      <c r="L84" s="6">
        <v>37.36</v>
      </c>
      <c r="M84" s="6">
        <v>51.36</v>
      </c>
      <c r="N84" s="3" t="s">
        <v>88</v>
      </c>
    </row>
    <row r="85" spans="1:14">
      <c r="A85" s="3" t="s">
        <v>166</v>
      </c>
      <c r="B85" s="4">
        <v>46126</v>
      </c>
      <c r="C85" s="3" t="s">
        <v>67</v>
      </c>
      <c r="D85" s="3" t="s">
        <v>68</v>
      </c>
      <c r="E85" s="3" t="s">
        <v>58</v>
      </c>
      <c r="F85" s="3" t="s">
        <v>52</v>
      </c>
      <c r="G85" s="3" t="s">
        <v>59</v>
      </c>
      <c r="H85" s="5">
        <v>8</v>
      </c>
      <c r="I85" s="6">
        <v>12.79</v>
      </c>
      <c r="J85" s="7">
        <v>0</v>
      </c>
      <c r="K85" s="6">
        <v>102.32</v>
      </c>
      <c r="L85" s="6">
        <v>41.95</v>
      </c>
      <c r="M85" s="6">
        <v>60.37</v>
      </c>
      <c r="N85" s="3" t="s">
        <v>63</v>
      </c>
    </row>
    <row r="86" spans="1:14">
      <c r="A86" s="3" t="s">
        <v>167</v>
      </c>
      <c r="B86" s="4">
        <v>45836</v>
      </c>
      <c r="C86" s="3" t="s">
        <v>67</v>
      </c>
      <c r="D86" s="3" t="s">
        <v>68</v>
      </c>
      <c r="E86" s="3" t="s">
        <v>72</v>
      </c>
      <c r="F86" s="3" t="s">
        <v>52</v>
      </c>
      <c r="G86" s="3" t="s">
        <v>53</v>
      </c>
      <c r="H86" s="5">
        <v>9</v>
      </c>
      <c r="I86" s="6">
        <v>8.7100000000000009</v>
      </c>
      <c r="J86" s="7">
        <v>0.05</v>
      </c>
      <c r="K86" s="6">
        <v>74.47</v>
      </c>
      <c r="L86" s="6">
        <v>33.71</v>
      </c>
      <c r="M86" s="6">
        <v>40.76</v>
      </c>
      <c r="N86" s="3" t="s">
        <v>54</v>
      </c>
    </row>
    <row r="87" spans="1:14">
      <c r="A87" s="3" t="s">
        <v>168</v>
      </c>
      <c r="B87" s="4">
        <v>46139</v>
      </c>
      <c r="C87" s="3" t="s">
        <v>67</v>
      </c>
      <c r="D87" s="3" t="s">
        <v>68</v>
      </c>
      <c r="E87" s="3" t="s">
        <v>58</v>
      </c>
      <c r="F87" s="3" t="s">
        <v>84</v>
      </c>
      <c r="G87" s="3" t="s">
        <v>96</v>
      </c>
      <c r="H87" s="5">
        <v>4</v>
      </c>
      <c r="I87" s="6">
        <v>10.71</v>
      </c>
      <c r="J87" s="7">
        <v>0.05</v>
      </c>
      <c r="K87" s="6">
        <v>40.700000000000003</v>
      </c>
      <c r="L87" s="6">
        <v>16.28</v>
      </c>
      <c r="M87" s="6">
        <v>24.42</v>
      </c>
      <c r="N87" s="3" t="s">
        <v>63</v>
      </c>
    </row>
    <row r="88" spans="1:14">
      <c r="A88" s="3" t="s">
        <v>169</v>
      </c>
      <c r="B88" s="4">
        <v>45938</v>
      </c>
      <c r="C88" s="3" t="s">
        <v>61</v>
      </c>
      <c r="D88" s="3" t="s">
        <v>62</v>
      </c>
      <c r="E88" s="3" t="s">
        <v>45</v>
      </c>
      <c r="F88" s="3" t="s">
        <v>46</v>
      </c>
      <c r="G88" s="3" t="s">
        <v>93</v>
      </c>
      <c r="H88" s="5">
        <v>10</v>
      </c>
      <c r="I88" s="6">
        <v>25.45</v>
      </c>
      <c r="J88" s="7">
        <v>0.05</v>
      </c>
      <c r="K88" s="6">
        <v>241.77</v>
      </c>
      <c r="L88" s="6">
        <v>139.97999999999999</v>
      </c>
      <c r="M88" s="6">
        <v>101.79</v>
      </c>
      <c r="N88" s="3" t="s">
        <v>77</v>
      </c>
    </row>
    <row r="89" spans="1:14">
      <c r="A89" s="3" t="s">
        <v>170</v>
      </c>
      <c r="B89" s="4">
        <v>46073</v>
      </c>
      <c r="C89" s="3" t="s">
        <v>61</v>
      </c>
      <c r="D89" s="3" t="s">
        <v>62</v>
      </c>
      <c r="E89" s="3" t="s">
        <v>90</v>
      </c>
      <c r="F89" s="3" t="s">
        <v>84</v>
      </c>
      <c r="G89" s="3" t="s">
        <v>85</v>
      </c>
      <c r="H89" s="5">
        <v>5</v>
      </c>
      <c r="I89" s="6">
        <v>7.84</v>
      </c>
      <c r="J89" s="7">
        <v>0.1</v>
      </c>
      <c r="K89" s="6">
        <v>35.28</v>
      </c>
      <c r="L89" s="6">
        <v>15.68</v>
      </c>
      <c r="M89" s="6">
        <v>19.600000000000001</v>
      </c>
      <c r="N89" s="3" t="s">
        <v>77</v>
      </c>
    </row>
    <row r="90" spans="1:14">
      <c r="A90" s="3" t="s">
        <v>171</v>
      </c>
      <c r="B90" s="4">
        <v>45691</v>
      </c>
      <c r="C90" s="3" t="s">
        <v>61</v>
      </c>
      <c r="D90" s="3" t="s">
        <v>62</v>
      </c>
      <c r="E90" s="3" t="s">
        <v>72</v>
      </c>
      <c r="F90" s="3" t="s">
        <v>69</v>
      </c>
      <c r="G90" s="3" t="s">
        <v>70</v>
      </c>
      <c r="H90" s="5">
        <v>11</v>
      </c>
      <c r="I90" s="6">
        <v>93.03</v>
      </c>
      <c r="J90" s="7">
        <v>0.15</v>
      </c>
      <c r="K90" s="6">
        <v>869.83</v>
      </c>
      <c r="L90" s="6">
        <v>532.13</v>
      </c>
      <c r="M90" s="6">
        <v>337.7</v>
      </c>
      <c r="N90" s="3" t="s">
        <v>77</v>
      </c>
    </row>
    <row r="91" spans="1:14">
      <c r="A91" s="3" t="s">
        <v>172</v>
      </c>
      <c r="B91" s="4" t="s">
        <v>173</v>
      </c>
      <c r="C91" s="3" t="s">
        <v>61</v>
      </c>
      <c r="D91" s="3" t="s">
        <v>62</v>
      </c>
      <c r="E91" s="3" t="s">
        <v>58</v>
      </c>
      <c r="F91" s="3" t="s">
        <v>52</v>
      </c>
      <c r="G91" s="3" t="s">
        <v>59</v>
      </c>
      <c r="H91" s="5">
        <v>6</v>
      </c>
      <c r="I91" s="6">
        <v>13.52</v>
      </c>
      <c r="J91" s="7">
        <v>0.05</v>
      </c>
      <c r="K91" s="6">
        <v>77.06</v>
      </c>
      <c r="L91" s="6">
        <v>33.26</v>
      </c>
      <c r="M91" s="6">
        <v>43.8</v>
      </c>
      <c r="N91" s="3" t="s">
        <v>54</v>
      </c>
    </row>
    <row r="92" spans="1:14">
      <c r="A92" s="3" t="s">
        <v>174</v>
      </c>
      <c r="B92" s="4">
        <v>45947</v>
      </c>
      <c r="C92" s="3" t="s">
        <v>61</v>
      </c>
      <c r="D92" s="3" t="s">
        <v>62</v>
      </c>
      <c r="E92" s="3" t="s">
        <v>45</v>
      </c>
      <c r="F92" s="3" t="s">
        <v>69</v>
      </c>
      <c r="G92" s="3" t="s">
        <v>79</v>
      </c>
      <c r="H92" s="5">
        <v>7</v>
      </c>
      <c r="I92" s="6">
        <v>139.43</v>
      </c>
      <c r="J92" s="7">
        <v>0.15</v>
      </c>
      <c r="K92" s="6">
        <v>829.61</v>
      </c>
      <c r="L92" s="6">
        <v>566.09</v>
      </c>
      <c r="M92" s="6">
        <v>263.52</v>
      </c>
      <c r="N92" s="3" t="s">
        <v>88</v>
      </c>
    </row>
    <row r="93" spans="1:14">
      <c r="A93" s="3" t="s">
        <v>175</v>
      </c>
      <c r="B93" s="4">
        <v>46175</v>
      </c>
      <c r="C93" s="3" t="s">
        <v>50</v>
      </c>
      <c r="D93" s="3" t="s">
        <v>51</v>
      </c>
      <c r="E93" s="3" t="s">
        <v>72</v>
      </c>
      <c r="F93" s="3" t="s">
        <v>52</v>
      </c>
      <c r="G93" s="3" t="s">
        <v>91</v>
      </c>
      <c r="H93" s="5">
        <v>2</v>
      </c>
      <c r="I93" s="6">
        <v>20.6</v>
      </c>
      <c r="J93" s="7">
        <v>0</v>
      </c>
      <c r="K93" s="6">
        <v>41.2</v>
      </c>
      <c r="L93" s="6">
        <v>20.190000000000001</v>
      </c>
      <c r="M93" s="6">
        <v>21.01</v>
      </c>
      <c r="N93" s="3" t="s">
        <v>77</v>
      </c>
    </row>
    <row r="94" spans="1:14">
      <c r="A94" s="3" t="s">
        <v>176</v>
      </c>
      <c r="B94" s="4">
        <v>45975</v>
      </c>
      <c r="C94" s="3" t="s">
        <v>61</v>
      </c>
      <c r="D94" s="3" t="s">
        <v>62</v>
      </c>
      <c r="E94" s="3" t="s">
        <v>58</v>
      </c>
      <c r="F94" s="3" t="s">
        <v>52</v>
      </c>
      <c r="G94" s="3" t="s">
        <v>53</v>
      </c>
      <c r="H94" s="5">
        <v>6</v>
      </c>
      <c r="I94" s="6">
        <v>8.76</v>
      </c>
      <c r="J94" s="7">
        <v>0.15</v>
      </c>
      <c r="K94" s="6">
        <v>44.68</v>
      </c>
      <c r="L94" s="6">
        <v>22.6</v>
      </c>
      <c r="M94" s="6">
        <v>22.08</v>
      </c>
      <c r="N94" s="3" t="s">
        <v>48</v>
      </c>
    </row>
    <row r="95" spans="1:14">
      <c r="A95" s="3" t="s">
        <v>177</v>
      </c>
      <c r="B95" s="4">
        <v>46130</v>
      </c>
      <c r="C95" s="3" t="s">
        <v>67</v>
      </c>
      <c r="D95" s="3" t="s">
        <v>68</v>
      </c>
      <c r="E95" s="3" t="s">
        <v>90</v>
      </c>
      <c r="F95" s="3" t="s">
        <v>84</v>
      </c>
      <c r="G95" s="3" t="s">
        <v>134</v>
      </c>
      <c r="H95" s="5">
        <v>12</v>
      </c>
      <c r="I95" s="6">
        <v>14.83</v>
      </c>
      <c r="J95" s="7">
        <v>0.15</v>
      </c>
      <c r="K95" s="6">
        <v>151.27000000000001</v>
      </c>
      <c r="L95" s="6">
        <v>81.86</v>
      </c>
      <c r="M95" s="6">
        <v>69.41</v>
      </c>
      <c r="N95" s="3" t="s">
        <v>88</v>
      </c>
    </row>
    <row r="96" spans="1:14">
      <c r="A96" s="3" t="s">
        <v>178</v>
      </c>
      <c r="B96" s="4">
        <v>45988</v>
      </c>
      <c r="C96" s="3" t="s">
        <v>74</v>
      </c>
      <c r="D96" s="3" t="s">
        <v>44</v>
      </c>
      <c r="E96" s="3" t="s">
        <v>58</v>
      </c>
      <c r="F96" s="3" t="s">
        <v>52</v>
      </c>
      <c r="G96" s="3" t="s">
        <v>128</v>
      </c>
      <c r="H96" s="5">
        <v>12</v>
      </c>
      <c r="I96" s="6">
        <v>13.43</v>
      </c>
      <c r="J96" s="7">
        <v>0.05</v>
      </c>
      <c r="K96" s="6">
        <v>153.1</v>
      </c>
      <c r="L96" s="6">
        <v>66.08</v>
      </c>
      <c r="M96" s="6">
        <v>87.02</v>
      </c>
      <c r="N96" s="3" t="s">
        <v>48</v>
      </c>
    </row>
    <row r="97" spans="1:14">
      <c r="A97" s="3" t="s">
        <v>179</v>
      </c>
      <c r="B97" s="4">
        <v>46362</v>
      </c>
      <c r="C97" s="3" t="s">
        <v>56</v>
      </c>
      <c r="D97" s="3" t="s">
        <v>57</v>
      </c>
      <c r="E97" s="3" t="s">
        <v>58</v>
      </c>
      <c r="F97" s="3" t="s">
        <v>69</v>
      </c>
      <c r="G97" s="3" t="s">
        <v>79</v>
      </c>
      <c r="H97" s="5">
        <v>3</v>
      </c>
      <c r="I97" s="6">
        <v>138.61000000000001</v>
      </c>
      <c r="J97" s="7">
        <v>0.1</v>
      </c>
      <c r="K97" s="6">
        <v>374.25</v>
      </c>
      <c r="L97" s="6">
        <v>241.18</v>
      </c>
      <c r="M97" s="6">
        <v>133.07</v>
      </c>
      <c r="N97" s="3" t="s">
        <v>65</v>
      </c>
    </row>
    <row r="98" spans="1:14">
      <c r="A98" s="3" t="s">
        <v>180</v>
      </c>
      <c r="B98" s="4">
        <v>45675</v>
      </c>
      <c r="C98" s="3" t="s">
        <v>67</v>
      </c>
      <c r="D98" s="3" t="s">
        <v>68</v>
      </c>
      <c r="E98" s="3" t="s">
        <v>72</v>
      </c>
      <c r="F98" s="3" t="s">
        <v>46</v>
      </c>
      <c r="G98" s="3" t="s">
        <v>93</v>
      </c>
      <c r="H98" s="5">
        <v>8</v>
      </c>
      <c r="I98" s="6">
        <v>24.69</v>
      </c>
      <c r="J98" s="7">
        <v>0.1</v>
      </c>
      <c r="K98" s="6">
        <v>177.77</v>
      </c>
      <c r="L98" s="6">
        <v>108.64</v>
      </c>
      <c r="M98" s="6">
        <v>69.13</v>
      </c>
      <c r="N98" s="3" t="s">
        <v>88</v>
      </c>
    </row>
    <row r="99" spans="1:14">
      <c r="A99" s="3" t="s">
        <v>181</v>
      </c>
      <c r="B99" s="4">
        <v>46380</v>
      </c>
      <c r="C99" s="3" t="s">
        <v>67</v>
      </c>
      <c r="D99" s="3" t="s">
        <v>68</v>
      </c>
      <c r="E99" s="3" t="s">
        <v>90</v>
      </c>
      <c r="F99" s="3" t="s">
        <v>84</v>
      </c>
      <c r="G99" s="3" t="s">
        <v>134</v>
      </c>
      <c r="H99" s="5">
        <v>5</v>
      </c>
      <c r="I99" s="6">
        <v>14.34</v>
      </c>
      <c r="J99" s="7">
        <v>0.15</v>
      </c>
      <c r="K99" s="6">
        <v>60.95</v>
      </c>
      <c r="L99" s="6">
        <v>32.979999999999997</v>
      </c>
      <c r="M99" s="6">
        <v>27.97</v>
      </c>
      <c r="N99" s="3" t="s">
        <v>77</v>
      </c>
    </row>
    <row r="100" spans="1:14">
      <c r="A100" s="3" t="s">
        <v>182</v>
      </c>
      <c r="B100" s="4">
        <v>45851</v>
      </c>
      <c r="C100" s="3" t="s">
        <v>74</v>
      </c>
      <c r="D100" s="3" t="s">
        <v>44</v>
      </c>
      <c r="E100" s="3" t="s">
        <v>45</v>
      </c>
      <c r="F100" s="3" t="s">
        <v>46</v>
      </c>
      <c r="G100" s="3" t="s">
        <v>93</v>
      </c>
      <c r="H100" s="5">
        <v>6</v>
      </c>
      <c r="I100" s="6">
        <v>26.33</v>
      </c>
      <c r="J100" s="7">
        <v>0</v>
      </c>
      <c r="K100" s="6">
        <v>157.97999999999999</v>
      </c>
      <c r="L100" s="6">
        <v>86.89</v>
      </c>
      <c r="M100" s="6">
        <v>71.09</v>
      </c>
      <c r="N100" s="3" t="s">
        <v>54</v>
      </c>
    </row>
    <row r="101" spans="1:14">
      <c r="A101" s="3" t="s">
        <v>183</v>
      </c>
      <c r="B101" s="4">
        <v>46353</v>
      </c>
      <c r="C101" s="3" t="s">
        <v>50</v>
      </c>
      <c r="D101" s="3" t="s">
        <v>51</v>
      </c>
      <c r="E101" s="3" t="s">
        <v>72</v>
      </c>
      <c r="F101" s="3" t="s">
        <v>46</v>
      </c>
      <c r="G101" s="3" t="s">
        <v>75</v>
      </c>
      <c r="H101" s="5">
        <v>8</v>
      </c>
      <c r="I101" s="6">
        <v>19.46</v>
      </c>
      <c r="J101" s="7">
        <v>0.15</v>
      </c>
      <c r="K101" s="6">
        <v>132.33000000000001</v>
      </c>
      <c r="L101" s="6">
        <v>74.73</v>
      </c>
      <c r="M101" s="6">
        <v>57.6</v>
      </c>
      <c r="N101" s="3" t="s">
        <v>88</v>
      </c>
    </row>
    <row r="102" spans="1:14">
      <c r="A102" s="3" t="s">
        <v>184</v>
      </c>
      <c r="B102" s="4">
        <v>45658</v>
      </c>
      <c r="C102" s="3" t="s">
        <v>61</v>
      </c>
      <c r="D102" s="3" t="s">
        <v>62</v>
      </c>
      <c r="E102" s="3" t="s">
        <v>58</v>
      </c>
      <c r="F102" s="3" t="s">
        <v>52</v>
      </c>
      <c r="G102" s="3" t="s">
        <v>53</v>
      </c>
      <c r="H102" s="5">
        <v>3</v>
      </c>
      <c r="I102" s="6">
        <v>10.46</v>
      </c>
      <c r="J102" s="7">
        <v>0.05</v>
      </c>
      <c r="K102" s="6">
        <v>29.81</v>
      </c>
      <c r="L102" s="6">
        <v>13.49</v>
      </c>
      <c r="M102" s="6">
        <v>16.32</v>
      </c>
      <c r="N102" s="3" t="s">
        <v>54</v>
      </c>
    </row>
    <row r="103" spans="1:14">
      <c r="A103" s="3" t="s">
        <v>185</v>
      </c>
      <c r="B103" s="4">
        <v>46085</v>
      </c>
      <c r="C103" s="3" t="s">
        <v>61</v>
      </c>
      <c r="D103" s="3" t="s">
        <v>62</v>
      </c>
      <c r="E103" s="3" t="s">
        <v>72</v>
      </c>
      <c r="F103" s="3" t="s">
        <v>84</v>
      </c>
      <c r="G103" s="3" t="s">
        <v>134</v>
      </c>
      <c r="H103" s="5">
        <v>12</v>
      </c>
      <c r="I103" s="6">
        <v>13.78</v>
      </c>
      <c r="J103" s="7">
        <v>0</v>
      </c>
      <c r="K103" s="6">
        <v>165.36</v>
      </c>
      <c r="L103" s="6">
        <v>76.069999999999993</v>
      </c>
      <c r="M103" s="6">
        <v>89.29</v>
      </c>
      <c r="N103" s="3" t="s">
        <v>63</v>
      </c>
    </row>
    <row r="104" spans="1:14">
      <c r="A104" s="3" t="s">
        <v>186</v>
      </c>
      <c r="B104" s="4">
        <v>46011</v>
      </c>
      <c r="C104" s="3" t="s">
        <v>50</v>
      </c>
      <c r="D104" s="3" t="s">
        <v>51</v>
      </c>
      <c r="E104" s="3" t="s">
        <v>72</v>
      </c>
      <c r="F104" s="3" t="s">
        <v>46</v>
      </c>
      <c r="G104" s="3" t="s">
        <v>93</v>
      </c>
      <c r="H104" s="5">
        <v>2</v>
      </c>
      <c r="I104" s="6">
        <v>25.19</v>
      </c>
      <c r="J104" s="7">
        <v>0.1</v>
      </c>
      <c r="K104" s="6">
        <v>45.34</v>
      </c>
      <c r="L104" s="6">
        <v>27.71</v>
      </c>
      <c r="M104" s="6">
        <v>17.63</v>
      </c>
      <c r="N104" s="3" t="s">
        <v>77</v>
      </c>
    </row>
    <row r="105" spans="1:14">
      <c r="A105" s="3" t="s">
        <v>187</v>
      </c>
      <c r="B105" s="4">
        <v>46328</v>
      </c>
      <c r="C105" s="3" t="s">
        <v>61</v>
      </c>
      <c r="D105" s="3" t="s">
        <v>62</v>
      </c>
      <c r="E105" s="3" t="s">
        <v>90</v>
      </c>
      <c r="F105" s="3" t="s">
        <v>46</v>
      </c>
      <c r="G105" s="3" t="s">
        <v>93</v>
      </c>
      <c r="H105" s="5">
        <v>8</v>
      </c>
      <c r="I105" s="6">
        <v>25.97</v>
      </c>
      <c r="J105" s="7">
        <v>0.05</v>
      </c>
      <c r="K105" s="6">
        <v>197.37</v>
      </c>
      <c r="L105" s="6">
        <v>114.27</v>
      </c>
      <c r="M105" s="6">
        <v>83.1</v>
      </c>
      <c r="N105" s="3" t="s">
        <v>63</v>
      </c>
    </row>
    <row r="106" spans="1:14">
      <c r="A106" s="3" t="s">
        <v>188</v>
      </c>
      <c r="B106" s="4">
        <v>45663</v>
      </c>
      <c r="C106" s="3" t="s">
        <v>67</v>
      </c>
      <c r="D106" s="3" t="s">
        <v>68</v>
      </c>
      <c r="E106" s="3" t="s">
        <v>72</v>
      </c>
      <c r="F106" s="3" t="s">
        <v>69</v>
      </c>
      <c r="G106" s="3" t="s">
        <v>70</v>
      </c>
      <c r="H106" s="5">
        <v>4</v>
      </c>
      <c r="I106" s="6">
        <v>95.55</v>
      </c>
      <c r="J106" s="7">
        <v>0.15</v>
      </c>
      <c r="K106" s="6">
        <v>324.87</v>
      </c>
      <c r="L106" s="6">
        <v>198.74</v>
      </c>
      <c r="M106" s="6">
        <v>126.13</v>
      </c>
      <c r="N106" s="3" t="s">
        <v>48</v>
      </c>
    </row>
    <row r="107" spans="1:14">
      <c r="A107" s="3" t="s">
        <v>189</v>
      </c>
      <c r="B107" s="4">
        <v>46362</v>
      </c>
      <c r="C107" s="3" t="s">
        <v>61</v>
      </c>
      <c r="D107" s="3" t="s">
        <v>62</v>
      </c>
      <c r="E107" s="3" t="s">
        <v>72</v>
      </c>
      <c r="F107" s="3" t="s">
        <v>46</v>
      </c>
      <c r="G107" s="3" t="s">
        <v>116</v>
      </c>
      <c r="H107" s="5">
        <v>10</v>
      </c>
      <c r="I107" s="6">
        <v>22.51</v>
      </c>
      <c r="J107" s="7">
        <v>0.05</v>
      </c>
      <c r="K107" s="6">
        <v>213.85</v>
      </c>
      <c r="L107" s="6">
        <v>112.55</v>
      </c>
      <c r="M107" s="6">
        <v>101.3</v>
      </c>
      <c r="N107" s="3" t="s">
        <v>65</v>
      </c>
    </row>
    <row r="108" spans="1:14">
      <c r="A108" s="3" t="s">
        <v>190</v>
      </c>
      <c r="B108" s="4">
        <v>45905</v>
      </c>
      <c r="C108" s="3" t="s">
        <v>61</v>
      </c>
      <c r="D108" s="3" t="s">
        <v>62</v>
      </c>
      <c r="E108" s="3" t="s">
        <v>45</v>
      </c>
      <c r="F108" s="3" t="s">
        <v>84</v>
      </c>
      <c r="G108" s="3" t="s">
        <v>134</v>
      </c>
      <c r="H108" s="5">
        <v>8</v>
      </c>
      <c r="I108" s="6">
        <v>15.25</v>
      </c>
      <c r="J108" s="7">
        <v>0.15</v>
      </c>
      <c r="K108" s="6">
        <v>103.7</v>
      </c>
      <c r="L108" s="6">
        <v>56.12</v>
      </c>
      <c r="M108" s="6">
        <v>47.58</v>
      </c>
      <c r="N108" s="3" t="s">
        <v>48</v>
      </c>
    </row>
    <row r="109" spans="1:14">
      <c r="A109" s="3" t="s">
        <v>191</v>
      </c>
      <c r="B109" s="4">
        <v>46041</v>
      </c>
      <c r="C109" s="3" t="s">
        <v>74</v>
      </c>
      <c r="D109" s="3" t="s">
        <v>44</v>
      </c>
      <c r="E109" s="3" t="s">
        <v>72</v>
      </c>
      <c r="F109" s="3" t="s">
        <v>52</v>
      </c>
      <c r="G109" s="3" t="s">
        <v>91</v>
      </c>
      <c r="H109" s="5">
        <v>7</v>
      </c>
      <c r="I109" s="6">
        <v>18.79</v>
      </c>
      <c r="J109" s="7">
        <v>0</v>
      </c>
      <c r="K109" s="6">
        <v>131.53</v>
      </c>
      <c r="L109" s="6">
        <v>64.45</v>
      </c>
      <c r="M109" s="6">
        <v>67.08</v>
      </c>
      <c r="N109" s="3" t="s">
        <v>63</v>
      </c>
    </row>
    <row r="110" spans="1:14">
      <c r="A110" s="3" t="s">
        <v>192</v>
      </c>
      <c r="B110" s="4">
        <v>45948</v>
      </c>
      <c r="C110" s="3" t="s">
        <v>50</v>
      </c>
      <c r="D110" s="3" t="s">
        <v>51</v>
      </c>
      <c r="E110" s="3" t="s">
        <v>58</v>
      </c>
      <c r="F110" s="3" t="s">
        <v>52</v>
      </c>
      <c r="G110" s="3" t="s">
        <v>59</v>
      </c>
      <c r="H110" s="5">
        <v>5</v>
      </c>
      <c r="I110" s="6">
        <v>12.56</v>
      </c>
      <c r="J110" s="7">
        <v>0.15</v>
      </c>
      <c r="K110" s="6">
        <v>53.38</v>
      </c>
      <c r="L110" s="6">
        <v>25.75</v>
      </c>
      <c r="M110" s="6">
        <v>27.63</v>
      </c>
      <c r="N110" s="3" t="s">
        <v>63</v>
      </c>
    </row>
    <row r="111" spans="1:14">
      <c r="A111" s="3" t="s">
        <v>193</v>
      </c>
      <c r="B111" s="4">
        <v>46243</v>
      </c>
      <c r="C111" s="3" t="s">
        <v>67</v>
      </c>
      <c r="D111" s="3" t="s">
        <v>68</v>
      </c>
      <c r="E111" s="3" t="s">
        <v>58</v>
      </c>
      <c r="F111" s="3" t="s">
        <v>69</v>
      </c>
      <c r="G111" s="3" t="s">
        <v>79</v>
      </c>
      <c r="H111" s="5">
        <v>5</v>
      </c>
      <c r="I111" s="6">
        <v>141.72999999999999</v>
      </c>
      <c r="J111" s="7">
        <v>0.05</v>
      </c>
      <c r="K111" s="6">
        <v>673.22</v>
      </c>
      <c r="L111" s="6">
        <v>411.02</v>
      </c>
      <c r="M111" s="6">
        <v>262.2</v>
      </c>
      <c r="N111" s="3" t="s">
        <v>54</v>
      </c>
    </row>
    <row r="112" spans="1:14">
      <c r="A112" s="3" t="s">
        <v>194</v>
      </c>
      <c r="B112" s="4">
        <v>45714</v>
      </c>
      <c r="C112" s="3" t="s">
        <v>56</v>
      </c>
      <c r="D112" s="3" t="s">
        <v>57</v>
      </c>
      <c r="E112" s="3" t="s">
        <v>45</v>
      </c>
      <c r="F112" s="3" t="s">
        <v>52</v>
      </c>
      <c r="G112" s="3" t="s">
        <v>91</v>
      </c>
      <c r="H112" s="5">
        <v>10</v>
      </c>
      <c r="I112" s="6">
        <v>18.12</v>
      </c>
      <c r="J112" s="7">
        <v>0.15</v>
      </c>
      <c r="K112" s="6">
        <v>154.02000000000001</v>
      </c>
      <c r="L112" s="6">
        <v>88.79</v>
      </c>
      <c r="M112" s="6">
        <v>65.23</v>
      </c>
      <c r="N112" s="3" t="s">
        <v>48</v>
      </c>
    </row>
    <row r="113" spans="1:14">
      <c r="A113" s="3" t="s">
        <v>195</v>
      </c>
      <c r="B113" s="4">
        <v>46262</v>
      </c>
      <c r="C113" s="3" t="s">
        <v>74</v>
      </c>
      <c r="D113" s="3" t="s">
        <v>44</v>
      </c>
      <c r="E113" s="3" t="s">
        <v>58</v>
      </c>
      <c r="F113" s="3" t="s">
        <v>84</v>
      </c>
      <c r="G113" s="3" t="s">
        <v>85</v>
      </c>
      <c r="H113" s="5">
        <v>1</v>
      </c>
      <c r="I113" s="6">
        <v>6.83</v>
      </c>
      <c r="J113" s="7">
        <v>0.1</v>
      </c>
      <c r="K113" s="6">
        <v>6.15</v>
      </c>
      <c r="L113" s="6">
        <v>2.73</v>
      </c>
      <c r="M113" s="6">
        <v>3.42</v>
      </c>
      <c r="N113" s="3" t="s">
        <v>65</v>
      </c>
    </row>
    <row r="114" spans="1:14">
      <c r="A114" s="3" t="s">
        <v>196</v>
      </c>
      <c r="B114" s="4">
        <v>45864</v>
      </c>
      <c r="C114" s="3" t="s">
        <v>56</v>
      </c>
      <c r="D114" s="3" t="s">
        <v>57</v>
      </c>
      <c r="E114" s="3" t="s">
        <v>45</v>
      </c>
      <c r="F114" s="3" t="s">
        <v>52</v>
      </c>
      <c r="G114" s="3" t="s">
        <v>53</v>
      </c>
      <c r="H114" s="5">
        <v>3</v>
      </c>
      <c r="I114" s="6">
        <v>11.46</v>
      </c>
      <c r="J114" s="7">
        <v>0</v>
      </c>
      <c r="K114" s="6">
        <v>34.380000000000003</v>
      </c>
      <c r="L114" s="6">
        <v>14.78</v>
      </c>
      <c r="M114" s="6">
        <v>19.600000000000001</v>
      </c>
      <c r="N114" s="3"/>
    </row>
    <row r="115" spans="1:14">
      <c r="A115" s="3" t="s">
        <v>197</v>
      </c>
      <c r="B115" s="4">
        <v>46044</v>
      </c>
      <c r="C115" s="3" t="s">
        <v>61</v>
      </c>
      <c r="D115" s="3" t="s">
        <v>62</v>
      </c>
      <c r="E115" s="3" t="s">
        <v>72</v>
      </c>
      <c r="F115" s="3" t="s">
        <v>52</v>
      </c>
      <c r="G115" s="3" t="s">
        <v>53</v>
      </c>
      <c r="H115" s="5">
        <v>1</v>
      </c>
      <c r="I115" s="6">
        <v>11.98</v>
      </c>
      <c r="J115" s="7">
        <v>0.1</v>
      </c>
      <c r="K115" s="6">
        <v>10.78</v>
      </c>
      <c r="L115" s="6">
        <v>5.15</v>
      </c>
      <c r="M115" s="6">
        <v>5.63</v>
      </c>
      <c r="N115" s="3" t="s">
        <v>63</v>
      </c>
    </row>
    <row r="116" spans="1:14">
      <c r="A116" s="3" t="s">
        <v>198</v>
      </c>
      <c r="B116" s="4">
        <v>45715</v>
      </c>
      <c r="C116" s="3" t="s">
        <v>56</v>
      </c>
      <c r="D116" s="3" t="s">
        <v>57</v>
      </c>
      <c r="E116" s="3" t="s">
        <v>45</v>
      </c>
      <c r="F116" s="3" t="s">
        <v>46</v>
      </c>
      <c r="G116" s="3" t="s">
        <v>116</v>
      </c>
      <c r="H116" s="5">
        <v>10</v>
      </c>
      <c r="I116" s="6">
        <v>22.49</v>
      </c>
      <c r="J116" s="7">
        <v>0</v>
      </c>
      <c r="K116" s="6">
        <v>224.9</v>
      </c>
      <c r="L116" s="6">
        <v>112.45</v>
      </c>
      <c r="M116" s="6">
        <v>112.45</v>
      </c>
      <c r="N116" s="3" t="s">
        <v>54</v>
      </c>
    </row>
    <row r="117" spans="1:14">
      <c r="A117" s="3" t="s">
        <v>199</v>
      </c>
      <c r="B117" s="4">
        <v>46138</v>
      </c>
      <c r="C117" s="3" t="s">
        <v>61</v>
      </c>
      <c r="D117" s="3" t="s">
        <v>62</v>
      </c>
      <c r="E117" s="3" t="s">
        <v>58</v>
      </c>
      <c r="F117" s="3" t="s">
        <v>84</v>
      </c>
      <c r="G117" s="3" t="s">
        <v>85</v>
      </c>
      <c r="H117" s="5">
        <v>4</v>
      </c>
      <c r="I117" s="6">
        <v>9.11</v>
      </c>
      <c r="J117" s="7">
        <v>0.15</v>
      </c>
      <c r="K117" s="6">
        <v>30.97</v>
      </c>
      <c r="L117" s="6">
        <v>14.58</v>
      </c>
      <c r="M117" s="6">
        <v>16.39</v>
      </c>
      <c r="N117" s="3" t="s">
        <v>48</v>
      </c>
    </row>
    <row r="118" spans="1:14">
      <c r="A118" s="3" t="s">
        <v>200</v>
      </c>
      <c r="B118" s="4">
        <v>45771</v>
      </c>
      <c r="C118" s="3" t="s">
        <v>50</v>
      </c>
      <c r="D118" s="3" t="s">
        <v>51</v>
      </c>
      <c r="E118" s="3" t="s">
        <v>72</v>
      </c>
      <c r="F118" s="3" t="s">
        <v>84</v>
      </c>
      <c r="G118" s="3" t="s">
        <v>96</v>
      </c>
      <c r="H118" s="5">
        <v>9</v>
      </c>
      <c r="I118" s="6">
        <v>10.039999999999999</v>
      </c>
      <c r="J118" s="7">
        <v>0.1</v>
      </c>
      <c r="K118" s="6">
        <v>81.319999999999993</v>
      </c>
      <c r="L118" s="6">
        <v>34.340000000000003</v>
      </c>
      <c r="M118" s="6">
        <v>46.98</v>
      </c>
      <c r="N118" s="3" t="s">
        <v>54</v>
      </c>
    </row>
    <row r="119" spans="1:14">
      <c r="A119" s="3" t="s">
        <v>201</v>
      </c>
      <c r="B119" s="4">
        <v>46235</v>
      </c>
      <c r="C119" s="3" t="s">
        <v>56</v>
      </c>
      <c r="D119" s="3" t="s">
        <v>57</v>
      </c>
      <c r="E119" s="3" t="s">
        <v>45</v>
      </c>
      <c r="F119" s="3" t="s">
        <v>46</v>
      </c>
      <c r="G119" s="3" t="s">
        <v>93</v>
      </c>
      <c r="H119" s="5">
        <v>3</v>
      </c>
      <c r="I119" s="6">
        <v>23.48</v>
      </c>
      <c r="J119" s="7">
        <v>0.05</v>
      </c>
      <c r="K119" s="6">
        <v>66.92</v>
      </c>
      <c r="L119" s="6">
        <v>38.74</v>
      </c>
      <c r="M119" s="6">
        <v>28.18</v>
      </c>
      <c r="N119" s="3" t="s">
        <v>48</v>
      </c>
    </row>
    <row r="120" spans="1:14">
      <c r="A120" s="3" t="s">
        <v>202</v>
      </c>
      <c r="B120" s="4">
        <v>45658</v>
      </c>
      <c r="C120" s="3" t="s">
        <v>67</v>
      </c>
      <c r="D120" s="3" t="s">
        <v>68</v>
      </c>
      <c r="E120" s="3" t="s">
        <v>45</v>
      </c>
      <c r="F120" s="3" t="s">
        <v>69</v>
      </c>
      <c r="G120" s="3" t="s">
        <v>81</v>
      </c>
      <c r="H120" s="5">
        <v>1</v>
      </c>
      <c r="I120" s="6">
        <v>259.29000000000002</v>
      </c>
      <c r="J120" s="7">
        <v>0.1</v>
      </c>
      <c r="K120" s="6">
        <v>233.36</v>
      </c>
      <c r="L120" s="6">
        <v>155.57</v>
      </c>
      <c r="M120" s="6">
        <v>77.790000000000006</v>
      </c>
      <c r="N120" s="3" t="s">
        <v>48</v>
      </c>
    </row>
    <row r="121" spans="1:14">
      <c r="A121" s="3" t="s">
        <v>203</v>
      </c>
      <c r="B121" s="4">
        <v>46148</v>
      </c>
      <c r="C121" s="3" t="s">
        <v>50</v>
      </c>
      <c r="D121" s="3" t="s">
        <v>51</v>
      </c>
      <c r="E121" s="3" t="s">
        <v>90</v>
      </c>
      <c r="F121" s="3" t="s">
        <v>84</v>
      </c>
      <c r="G121" s="3" t="s">
        <v>96</v>
      </c>
      <c r="H121" s="5">
        <v>5</v>
      </c>
      <c r="I121" s="6">
        <v>10.77</v>
      </c>
      <c r="J121" s="7">
        <v>0.15</v>
      </c>
      <c r="K121" s="6">
        <v>45.77</v>
      </c>
      <c r="L121" s="6">
        <v>20.46</v>
      </c>
      <c r="M121" s="6">
        <v>25.31</v>
      </c>
      <c r="N121" s="3" t="s">
        <v>65</v>
      </c>
    </row>
    <row r="122" spans="1:14">
      <c r="A122" s="3" t="s">
        <v>204</v>
      </c>
      <c r="B122" s="4">
        <v>45907</v>
      </c>
      <c r="C122" s="3" t="s">
        <v>67</v>
      </c>
      <c r="D122" s="3" t="s">
        <v>68</v>
      </c>
      <c r="E122" s="3" t="s">
        <v>90</v>
      </c>
      <c r="F122" s="3" t="s">
        <v>84</v>
      </c>
      <c r="G122" s="3" t="s">
        <v>96</v>
      </c>
      <c r="H122" s="5">
        <v>1</v>
      </c>
      <c r="I122" s="6">
        <v>12.86</v>
      </c>
      <c r="J122" s="7">
        <v>0.05</v>
      </c>
      <c r="K122" s="6">
        <v>12.22</v>
      </c>
      <c r="L122" s="6">
        <v>4.8899999999999997</v>
      </c>
      <c r="M122" s="6">
        <v>7.33</v>
      </c>
      <c r="N122" s="3" t="s">
        <v>54</v>
      </c>
    </row>
    <row r="123" spans="1:14">
      <c r="A123" s="3" t="s">
        <v>205</v>
      </c>
      <c r="B123" s="4">
        <v>46206</v>
      </c>
      <c r="C123" s="3" t="s">
        <v>74</v>
      </c>
      <c r="D123" s="3" t="s">
        <v>44</v>
      </c>
      <c r="E123" s="3" t="s">
        <v>58</v>
      </c>
      <c r="F123" s="3" t="s">
        <v>46</v>
      </c>
      <c r="G123" s="3" t="s">
        <v>93</v>
      </c>
      <c r="H123" s="5">
        <v>11</v>
      </c>
      <c r="I123" s="6">
        <v>23.8</v>
      </c>
      <c r="J123" s="7">
        <v>0.15</v>
      </c>
      <c r="K123" s="6">
        <v>222.53</v>
      </c>
      <c r="L123" s="6">
        <v>143.99</v>
      </c>
      <c r="M123" s="6">
        <v>78.540000000000006</v>
      </c>
      <c r="N123" s="3" t="s">
        <v>48</v>
      </c>
    </row>
    <row r="124" spans="1:14">
      <c r="A124" s="3" t="s">
        <v>206</v>
      </c>
      <c r="B124" s="4">
        <v>45916</v>
      </c>
      <c r="C124" s="3" t="s">
        <v>74</v>
      </c>
      <c r="D124" s="3" t="s">
        <v>44</v>
      </c>
      <c r="E124" s="3" t="s">
        <v>45</v>
      </c>
      <c r="F124" s="3" t="s">
        <v>52</v>
      </c>
      <c r="G124" s="3" t="s">
        <v>53</v>
      </c>
      <c r="H124" s="5">
        <v>10</v>
      </c>
      <c r="I124" s="6">
        <v>9.0299999999999994</v>
      </c>
      <c r="J124" s="7">
        <v>0.05</v>
      </c>
      <c r="K124" s="6">
        <v>85.79</v>
      </c>
      <c r="L124" s="6">
        <v>38.83</v>
      </c>
      <c r="M124" s="6">
        <v>46.96</v>
      </c>
      <c r="N124" s="3" t="s">
        <v>77</v>
      </c>
    </row>
    <row r="125" spans="1:14">
      <c r="A125" s="3" t="s">
        <v>207</v>
      </c>
      <c r="B125" s="4">
        <v>46245</v>
      </c>
      <c r="C125" s="3" t="s">
        <v>121</v>
      </c>
      <c r="D125" s="3" t="s">
        <v>51</v>
      </c>
      <c r="E125" s="3" t="s">
        <v>90</v>
      </c>
      <c r="F125" s="3" t="s">
        <v>46</v>
      </c>
      <c r="G125" s="3" t="s">
        <v>75</v>
      </c>
      <c r="H125" s="5">
        <v>11</v>
      </c>
      <c r="I125" s="6">
        <v>18.97</v>
      </c>
      <c r="J125" s="7">
        <v>0</v>
      </c>
      <c r="K125" s="6">
        <v>208.67</v>
      </c>
      <c r="L125" s="6">
        <v>100.16</v>
      </c>
      <c r="M125" s="6">
        <v>108.51</v>
      </c>
      <c r="N125" s="3" t="s">
        <v>88</v>
      </c>
    </row>
    <row r="126" spans="1:14">
      <c r="A126" s="3" t="s">
        <v>208</v>
      </c>
      <c r="B126" s="4">
        <v>45943</v>
      </c>
      <c r="C126" s="3" t="s">
        <v>50</v>
      </c>
      <c r="D126" s="3" t="s">
        <v>51</v>
      </c>
      <c r="E126" s="3" t="s">
        <v>58</v>
      </c>
      <c r="F126" s="3" t="s">
        <v>84</v>
      </c>
      <c r="G126" s="3" t="s">
        <v>134</v>
      </c>
      <c r="H126" s="5">
        <v>7</v>
      </c>
      <c r="I126" s="6">
        <v>16.09</v>
      </c>
      <c r="J126" s="7">
        <v>0.15</v>
      </c>
      <c r="K126" s="6">
        <v>95.74</v>
      </c>
      <c r="L126" s="6">
        <v>51.81</v>
      </c>
      <c r="M126" s="6">
        <v>43.93</v>
      </c>
      <c r="N126" s="3" t="s">
        <v>65</v>
      </c>
    </row>
    <row r="127" spans="1:14">
      <c r="A127" s="3" t="s">
        <v>209</v>
      </c>
      <c r="B127" s="4">
        <v>46086</v>
      </c>
      <c r="C127" s="3" t="s">
        <v>67</v>
      </c>
      <c r="D127" s="3" t="s">
        <v>68</v>
      </c>
      <c r="E127" s="3" t="s">
        <v>72</v>
      </c>
      <c r="F127" s="3" t="s">
        <v>52</v>
      </c>
      <c r="G127" s="3" t="s">
        <v>59</v>
      </c>
      <c r="H127" s="5">
        <v>6</v>
      </c>
      <c r="I127" s="6">
        <v>10.91</v>
      </c>
      <c r="J127" s="7">
        <v>0.05</v>
      </c>
      <c r="K127" s="6">
        <v>62.19</v>
      </c>
      <c r="L127" s="6">
        <v>26.84</v>
      </c>
      <c r="M127" s="6">
        <v>35.35</v>
      </c>
      <c r="N127" s="3" t="s">
        <v>65</v>
      </c>
    </row>
    <row r="128" spans="1:14">
      <c r="A128" s="3" t="s">
        <v>210</v>
      </c>
      <c r="B128" s="4">
        <v>45937</v>
      </c>
      <c r="C128" s="3" t="s">
        <v>56</v>
      </c>
      <c r="D128" s="3" t="s">
        <v>57</v>
      </c>
      <c r="E128" s="3" t="s">
        <v>45</v>
      </c>
      <c r="F128" s="3" t="s">
        <v>84</v>
      </c>
      <c r="G128" s="3" t="s">
        <v>134</v>
      </c>
      <c r="H128" s="5">
        <v>9</v>
      </c>
      <c r="I128" s="6">
        <v>14.11</v>
      </c>
      <c r="J128" s="7">
        <v>0.1</v>
      </c>
      <c r="K128" s="6">
        <v>114.29</v>
      </c>
      <c r="L128" s="6">
        <v>58.42</v>
      </c>
      <c r="M128" s="6">
        <v>55.87</v>
      </c>
      <c r="N128" s="3" t="s">
        <v>88</v>
      </c>
    </row>
    <row r="129" spans="1:14">
      <c r="A129" s="3" t="s">
        <v>211</v>
      </c>
      <c r="B129" s="4">
        <v>46026</v>
      </c>
      <c r="C129" s="3" t="s">
        <v>74</v>
      </c>
      <c r="D129" s="3" t="s">
        <v>44</v>
      </c>
      <c r="E129" s="3" t="s">
        <v>45</v>
      </c>
      <c r="F129" s="3" t="s">
        <v>69</v>
      </c>
      <c r="G129" s="3" t="s">
        <v>70</v>
      </c>
      <c r="H129" s="5">
        <v>3</v>
      </c>
      <c r="I129" s="6">
        <v>94.82</v>
      </c>
      <c r="J129" s="7">
        <v>0.05</v>
      </c>
      <c r="K129" s="6">
        <v>270.24</v>
      </c>
      <c r="L129" s="6">
        <v>147.91999999999999</v>
      </c>
      <c r="M129" s="6">
        <v>122.32</v>
      </c>
      <c r="N129" s="3" t="s">
        <v>63</v>
      </c>
    </row>
    <row r="130" spans="1:14">
      <c r="A130" s="3" t="s">
        <v>212</v>
      </c>
      <c r="B130" s="4">
        <v>45957</v>
      </c>
      <c r="C130" s="3" t="s">
        <v>56</v>
      </c>
      <c r="D130" s="3" t="s">
        <v>57</v>
      </c>
      <c r="E130" s="3" t="s">
        <v>45</v>
      </c>
      <c r="F130" s="3" t="s">
        <v>46</v>
      </c>
      <c r="G130" s="3" t="s">
        <v>93</v>
      </c>
      <c r="H130" s="5">
        <v>2</v>
      </c>
      <c r="I130" s="6">
        <v>26.74</v>
      </c>
      <c r="J130" s="7">
        <v>0.15</v>
      </c>
      <c r="K130" s="6">
        <v>45.46</v>
      </c>
      <c r="L130" s="6">
        <v>29.41</v>
      </c>
      <c r="M130" s="6">
        <v>16.05</v>
      </c>
      <c r="N130" s="3" t="s">
        <v>48</v>
      </c>
    </row>
    <row r="131" spans="1:14">
      <c r="A131" s="3" t="s">
        <v>213</v>
      </c>
      <c r="B131" s="4">
        <v>46343</v>
      </c>
      <c r="C131" s="3" t="s">
        <v>56</v>
      </c>
      <c r="D131" s="3" t="s">
        <v>57</v>
      </c>
      <c r="E131" s="3" t="s">
        <v>58</v>
      </c>
      <c r="F131" s="3" t="s">
        <v>69</v>
      </c>
      <c r="G131" s="3" t="s">
        <v>70</v>
      </c>
      <c r="H131" s="5">
        <v>1</v>
      </c>
      <c r="I131" s="6">
        <v>93.01</v>
      </c>
      <c r="J131" s="7">
        <v>0.05</v>
      </c>
      <c r="K131" s="6">
        <v>88.36</v>
      </c>
      <c r="L131" s="6">
        <v>48.37</v>
      </c>
      <c r="M131" s="6">
        <v>39.99</v>
      </c>
      <c r="N131" s="3" t="s">
        <v>63</v>
      </c>
    </row>
    <row r="132" spans="1:14">
      <c r="A132" s="3" t="s">
        <v>214</v>
      </c>
      <c r="B132" s="4">
        <v>45685</v>
      </c>
      <c r="C132" s="3" t="s">
        <v>56</v>
      </c>
      <c r="D132" s="3" t="s">
        <v>57</v>
      </c>
      <c r="E132" s="3" t="s">
        <v>72</v>
      </c>
      <c r="F132" s="3" t="s">
        <v>69</v>
      </c>
      <c r="G132" s="3" t="s">
        <v>70</v>
      </c>
      <c r="H132" s="5">
        <v>8</v>
      </c>
      <c r="I132" s="6">
        <v>93.13</v>
      </c>
      <c r="J132" s="7">
        <v>0.15</v>
      </c>
      <c r="K132" s="6">
        <v>633.28</v>
      </c>
      <c r="L132" s="6">
        <v>387.42</v>
      </c>
      <c r="M132" s="6">
        <v>245.86</v>
      </c>
      <c r="N132" s="3" t="s">
        <v>63</v>
      </c>
    </row>
    <row r="133" spans="1:14">
      <c r="A133" s="3" t="s">
        <v>215</v>
      </c>
      <c r="B133" s="4">
        <v>46250</v>
      </c>
      <c r="C133" s="3" t="s">
        <v>74</v>
      </c>
      <c r="D133" s="3" t="s">
        <v>44</v>
      </c>
      <c r="E133" s="3" t="s">
        <v>90</v>
      </c>
      <c r="F133" s="3" t="s">
        <v>46</v>
      </c>
      <c r="G133" s="3" t="s">
        <v>75</v>
      </c>
      <c r="H133" s="5">
        <v>9</v>
      </c>
      <c r="I133" s="6">
        <v>17.809999999999999</v>
      </c>
      <c r="J133" s="7">
        <v>0</v>
      </c>
      <c r="K133" s="6">
        <v>160.29</v>
      </c>
      <c r="L133" s="6">
        <v>76.94</v>
      </c>
      <c r="M133" s="6">
        <v>83.35</v>
      </c>
      <c r="N133" s="3" t="s">
        <v>48</v>
      </c>
    </row>
    <row r="134" spans="1:14">
      <c r="A134" s="3" t="s">
        <v>216</v>
      </c>
      <c r="B134" s="4">
        <v>45986</v>
      </c>
      <c r="C134" s="3" t="s">
        <v>61</v>
      </c>
      <c r="D134" s="3" t="s">
        <v>62</v>
      </c>
      <c r="E134" s="3" t="s">
        <v>72</v>
      </c>
      <c r="F134" s="3" t="s">
        <v>69</v>
      </c>
      <c r="G134" s="3" t="s">
        <v>70</v>
      </c>
      <c r="H134" s="5">
        <v>12</v>
      </c>
      <c r="I134" s="6">
        <v>93.95</v>
      </c>
      <c r="J134" s="7">
        <v>0</v>
      </c>
      <c r="K134" s="6">
        <v>1127.4000000000001</v>
      </c>
      <c r="L134" s="6">
        <v>586.25</v>
      </c>
      <c r="M134" s="6">
        <v>541.15</v>
      </c>
      <c r="N134" s="3" t="s">
        <v>77</v>
      </c>
    </row>
    <row r="135" spans="1:14">
      <c r="A135" s="3" t="s">
        <v>217</v>
      </c>
      <c r="B135" s="4">
        <v>46097</v>
      </c>
      <c r="C135" s="3" t="s">
        <v>61</v>
      </c>
      <c r="D135" s="3" t="s">
        <v>62</v>
      </c>
      <c r="E135" s="3" t="s">
        <v>90</v>
      </c>
      <c r="F135" s="3" t="s">
        <v>69</v>
      </c>
      <c r="G135" s="3" t="s">
        <v>70</v>
      </c>
      <c r="H135" s="5">
        <v>2</v>
      </c>
      <c r="I135" s="6">
        <v>94.21</v>
      </c>
      <c r="J135" s="7">
        <v>0</v>
      </c>
      <c r="K135" s="6">
        <v>188.42</v>
      </c>
      <c r="L135" s="6">
        <v>97.98</v>
      </c>
      <c r="M135" s="6">
        <v>90.44</v>
      </c>
      <c r="N135" s="3" t="s">
        <v>54</v>
      </c>
    </row>
    <row r="136" spans="1:14">
      <c r="A136" s="3" t="s">
        <v>218</v>
      </c>
      <c r="B136" s="4">
        <v>45876</v>
      </c>
      <c r="C136" s="3" t="s">
        <v>74</v>
      </c>
      <c r="D136" s="3" t="s">
        <v>44</v>
      </c>
      <c r="E136" s="3" t="s">
        <v>58</v>
      </c>
      <c r="F136" s="3" t="s">
        <v>52</v>
      </c>
      <c r="G136" s="3" t="s">
        <v>59</v>
      </c>
      <c r="H136" s="5">
        <v>9</v>
      </c>
      <c r="I136" s="6">
        <v>10.38</v>
      </c>
      <c r="J136" s="7">
        <v>0.15</v>
      </c>
      <c r="K136" s="6">
        <v>79.41</v>
      </c>
      <c r="L136" s="6">
        <v>38.299999999999997</v>
      </c>
      <c r="M136" s="6">
        <v>41.11</v>
      </c>
      <c r="N136" s="3" t="s">
        <v>77</v>
      </c>
    </row>
    <row r="137" spans="1:14">
      <c r="A137" s="3" t="s">
        <v>219</v>
      </c>
      <c r="B137" s="4">
        <v>46178</v>
      </c>
      <c r="C137" s="3" t="s">
        <v>56</v>
      </c>
      <c r="D137" s="3" t="s">
        <v>57</v>
      </c>
      <c r="E137" s="3" t="s">
        <v>72</v>
      </c>
      <c r="F137" s="3" t="s">
        <v>46</v>
      </c>
      <c r="G137" s="3" t="s">
        <v>116</v>
      </c>
      <c r="H137" s="5">
        <v>6</v>
      </c>
      <c r="I137" s="6">
        <v>22.08</v>
      </c>
      <c r="J137" s="7">
        <v>0</v>
      </c>
      <c r="K137" s="6">
        <v>132.47999999999999</v>
      </c>
      <c r="L137" s="6">
        <v>66.239999999999995</v>
      </c>
      <c r="M137" s="6">
        <v>66.239999999999995</v>
      </c>
      <c r="N137" s="3" t="s">
        <v>54</v>
      </c>
    </row>
    <row r="138" spans="1:14">
      <c r="A138" s="3" t="s">
        <v>220</v>
      </c>
      <c r="B138" s="4">
        <v>45684</v>
      </c>
      <c r="C138" s="3" t="s">
        <v>50</v>
      </c>
      <c r="D138" s="3" t="s">
        <v>51</v>
      </c>
      <c r="E138" s="3" t="s">
        <v>90</v>
      </c>
      <c r="F138" s="3" t="s">
        <v>46</v>
      </c>
      <c r="G138" s="3" t="s">
        <v>116</v>
      </c>
      <c r="H138" s="5">
        <v>4</v>
      </c>
      <c r="I138" s="6">
        <v>20.16</v>
      </c>
      <c r="J138" s="7">
        <v>0.1</v>
      </c>
      <c r="K138" s="6">
        <v>72.58</v>
      </c>
      <c r="L138" s="6">
        <v>40.32</v>
      </c>
      <c r="M138" s="6">
        <v>32.26</v>
      </c>
      <c r="N138" s="3" t="s">
        <v>63</v>
      </c>
    </row>
    <row r="139" spans="1:14">
      <c r="A139" s="3" t="s">
        <v>221</v>
      </c>
      <c r="B139" s="4">
        <v>46333</v>
      </c>
      <c r="C139" s="3" t="s">
        <v>74</v>
      </c>
      <c r="D139" s="3" t="s">
        <v>44</v>
      </c>
      <c r="E139" s="3" t="s">
        <v>90</v>
      </c>
      <c r="F139" s="3" t="s">
        <v>69</v>
      </c>
      <c r="G139" s="3" t="s">
        <v>81</v>
      </c>
      <c r="H139" s="5">
        <v>3</v>
      </c>
      <c r="I139" s="6">
        <v>258.33</v>
      </c>
      <c r="J139" s="7">
        <v>0.1</v>
      </c>
      <c r="K139" s="6">
        <v>697.49</v>
      </c>
      <c r="L139" s="6">
        <v>464.99</v>
      </c>
      <c r="M139" s="6">
        <v>232.5</v>
      </c>
      <c r="N139" s="3" t="s">
        <v>65</v>
      </c>
    </row>
    <row r="140" spans="1:14">
      <c r="A140" s="3" t="s">
        <v>222</v>
      </c>
      <c r="B140" s="4">
        <v>45984</v>
      </c>
      <c r="C140" s="3" t="s">
        <v>61</v>
      </c>
      <c r="D140" s="3" t="s">
        <v>62</v>
      </c>
      <c r="E140" s="3" t="s">
        <v>45</v>
      </c>
      <c r="F140" s="3" t="s">
        <v>69</v>
      </c>
      <c r="G140" s="3" t="s">
        <v>70</v>
      </c>
      <c r="H140" s="5">
        <v>3</v>
      </c>
      <c r="I140" s="6">
        <v>94.27</v>
      </c>
      <c r="J140" s="7">
        <v>0.05</v>
      </c>
      <c r="K140" s="6">
        <v>268.67</v>
      </c>
      <c r="L140" s="6">
        <v>147.06</v>
      </c>
      <c r="M140" s="6">
        <v>121.61</v>
      </c>
      <c r="N140" s="3" t="s">
        <v>48</v>
      </c>
    </row>
    <row r="141" spans="1:14">
      <c r="A141" s="3" t="s">
        <v>223</v>
      </c>
      <c r="B141" s="4">
        <v>46033</v>
      </c>
      <c r="C141" s="3" t="s">
        <v>67</v>
      </c>
      <c r="D141" s="3" t="s">
        <v>68</v>
      </c>
      <c r="E141" s="3" t="s">
        <v>90</v>
      </c>
      <c r="F141" s="3" t="s">
        <v>46</v>
      </c>
      <c r="G141" s="3" t="s">
        <v>75</v>
      </c>
      <c r="H141" s="5">
        <v>6</v>
      </c>
      <c r="I141" s="6">
        <v>19.22</v>
      </c>
      <c r="J141" s="7">
        <v>0</v>
      </c>
      <c r="K141" s="6">
        <v>115.32</v>
      </c>
      <c r="L141" s="6">
        <v>55.35</v>
      </c>
      <c r="M141" s="6">
        <v>59.97</v>
      </c>
      <c r="N141" s="3" t="s">
        <v>88</v>
      </c>
    </row>
    <row r="142" spans="1:14">
      <c r="A142" s="3" t="s">
        <v>224</v>
      </c>
      <c r="B142" s="4">
        <v>45774</v>
      </c>
      <c r="C142" s="3" t="s">
        <v>56</v>
      </c>
      <c r="D142" s="3" t="s">
        <v>57</v>
      </c>
      <c r="E142" s="3" t="s">
        <v>45</v>
      </c>
      <c r="F142" s="3" t="s">
        <v>69</v>
      </c>
      <c r="G142" s="3" t="s">
        <v>79</v>
      </c>
      <c r="H142" s="5">
        <v>2</v>
      </c>
      <c r="I142" s="6">
        <v>141.93</v>
      </c>
      <c r="J142" s="7">
        <v>0.15</v>
      </c>
      <c r="K142" s="6">
        <v>241.28</v>
      </c>
      <c r="L142" s="6">
        <v>164.64</v>
      </c>
      <c r="M142" s="6">
        <v>76.64</v>
      </c>
      <c r="N142" s="3" t="s">
        <v>77</v>
      </c>
    </row>
    <row r="143" spans="1:14">
      <c r="A143" s="3" t="s">
        <v>225</v>
      </c>
      <c r="B143" s="4">
        <v>46125</v>
      </c>
      <c r="C143" s="3" t="s">
        <v>74</v>
      </c>
      <c r="D143" s="3" t="s">
        <v>44</v>
      </c>
      <c r="E143" s="3" t="s">
        <v>72</v>
      </c>
      <c r="F143" s="3" t="s">
        <v>46</v>
      </c>
      <c r="G143" s="3" t="s">
        <v>226</v>
      </c>
      <c r="H143" s="5">
        <v>1</v>
      </c>
      <c r="I143" s="6">
        <v>22.78</v>
      </c>
      <c r="J143" s="7">
        <v>0.15</v>
      </c>
      <c r="K143" s="6">
        <v>19.36</v>
      </c>
      <c r="L143" s="6">
        <v>11.39</v>
      </c>
      <c r="M143" s="6">
        <v>7.97</v>
      </c>
      <c r="N143" s="3" t="s">
        <v>88</v>
      </c>
    </row>
    <row r="144" spans="1:14">
      <c r="A144" s="3" t="s">
        <v>227</v>
      </c>
      <c r="B144" s="4">
        <v>45937</v>
      </c>
      <c r="C144" s="3" t="s">
        <v>67</v>
      </c>
      <c r="D144" s="3" t="s">
        <v>68</v>
      </c>
      <c r="E144" s="3" t="s">
        <v>58</v>
      </c>
      <c r="F144" s="3" t="s">
        <v>46</v>
      </c>
      <c r="G144" s="3" t="s">
        <v>228</v>
      </c>
      <c r="H144" s="5">
        <v>5</v>
      </c>
      <c r="I144" s="6">
        <v>24.41</v>
      </c>
      <c r="J144" s="7">
        <v>0.1</v>
      </c>
      <c r="K144" s="6">
        <v>109.85</v>
      </c>
      <c r="L144" s="6">
        <v>67.13</v>
      </c>
      <c r="M144" s="6">
        <v>42.72</v>
      </c>
      <c r="N144" s="3" t="s">
        <v>63</v>
      </c>
    </row>
    <row r="145" spans="1:14">
      <c r="A145" s="3" t="s">
        <v>229</v>
      </c>
      <c r="B145" s="4">
        <v>46136</v>
      </c>
      <c r="C145" s="3" t="s">
        <v>50</v>
      </c>
      <c r="D145" s="3" t="s">
        <v>51</v>
      </c>
      <c r="E145" s="3" t="s">
        <v>45</v>
      </c>
      <c r="F145" s="3" t="s">
        <v>46</v>
      </c>
      <c r="G145" s="3" t="s">
        <v>116</v>
      </c>
      <c r="H145" s="5">
        <v>8</v>
      </c>
      <c r="I145" s="6">
        <v>23.43</v>
      </c>
      <c r="J145" s="7">
        <v>0.05</v>
      </c>
      <c r="K145" s="6">
        <v>178.07</v>
      </c>
      <c r="L145" s="6">
        <v>93.72</v>
      </c>
      <c r="M145" s="6">
        <v>84.35</v>
      </c>
      <c r="N145" s="3" t="s">
        <v>63</v>
      </c>
    </row>
    <row r="146" spans="1:14">
      <c r="A146" s="3" t="s">
        <v>230</v>
      </c>
      <c r="B146" s="4">
        <v>45998</v>
      </c>
      <c r="C146" s="3" t="s">
        <v>56</v>
      </c>
      <c r="D146" s="3" t="s">
        <v>57</v>
      </c>
      <c r="E146" s="3" t="s">
        <v>45</v>
      </c>
      <c r="F146" s="3" t="s">
        <v>84</v>
      </c>
      <c r="G146" s="3" t="s">
        <v>134</v>
      </c>
      <c r="H146" s="5">
        <v>7</v>
      </c>
      <c r="I146" s="6">
        <v>13.02</v>
      </c>
      <c r="J146" s="7">
        <v>0</v>
      </c>
      <c r="K146" s="6">
        <v>91.14</v>
      </c>
      <c r="L146" s="6">
        <v>41.92</v>
      </c>
      <c r="M146" s="6">
        <v>49.22</v>
      </c>
      <c r="N146" s="3" t="s">
        <v>88</v>
      </c>
    </row>
    <row r="147" spans="1:14">
      <c r="A147" s="3" t="s">
        <v>231</v>
      </c>
      <c r="B147" s="4">
        <v>46125</v>
      </c>
      <c r="C147" s="3" t="s">
        <v>61</v>
      </c>
      <c r="D147" s="3" t="s">
        <v>62</v>
      </c>
      <c r="E147" s="3" t="s">
        <v>72</v>
      </c>
      <c r="F147" s="3" t="s">
        <v>46</v>
      </c>
      <c r="G147" s="3" t="s">
        <v>116</v>
      </c>
      <c r="H147" s="5">
        <v>7</v>
      </c>
      <c r="I147" s="6">
        <v>22.74</v>
      </c>
      <c r="J147" s="7">
        <v>0.1</v>
      </c>
      <c r="K147" s="6">
        <v>143.26</v>
      </c>
      <c r="L147" s="6">
        <v>79.59</v>
      </c>
      <c r="M147" s="6">
        <v>63.67</v>
      </c>
      <c r="N147" s="3" t="s">
        <v>65</v>
      </c>
    </row>
    <row r="148" spans="1:14">
      <c r="A148" s="3" t="s">
        <v>232</v>
      </c>
      <c r="B148" s="4">
        <v>45952</v>
      </c>
      <c r="C148" s="3" t="s">
        <v>61</v>
      </c>
      <c r="D148" s="3" t="s">
        <v>62</v>
      </c>
      <c r="E148" s="3" t="s">
        <v>45</v>
      </c>
      <c r="F148" s="3" t="s">
        <v>52</v>
      </c>
      <c r="G148" s="3" t="s">
        <v>59</v>
      </c>
      <c r="H148" s="5">
        <v>9</v>
      </c>
      <c r="I148" s="6">
        <v>10.119999999999999</v>
      </c>
      <c r="J148" s="7">
        <v>0.15</v>
      </c>
      <c r="K148" s="6">
        <v>77.42</v>
      </c>
      <c r="L148" s="6">
        <v>37.340000000000003</v>
      </c>
      <c r="M148" s="6">
        <v>40.08</v>
      </c>
      <c r="N148" s="3" t="s">
        <v>63</v>
      </c>
    </row>
    <row r="149" spans="1:14">
      <c r="A149" s="3" t="s">
        <v>233</v>
      </c>
      <c r="B149" s="4">
        <v>46292</v>
      </c>
      <c r="C149" s="3" t="s">
        <v>50</v>
      </c>
      <c r="D149" s="3" t="s">
        <v>51</v>
      </c>
      <c r="E149" s="3" t="s">
        <v>90</v>
      </c>
      <c r="F149" s="3" t="s">
        <v>84</v>
      </c>
      <c r="G149" s="3" t="s">
        <v>134</v>
      </c>
      <c r="H149" s="5">
        <v>7</v>
      </c>
      <c r="I149" s="6">
        <v>14.49</v>
      </c>
      <c r="J149" s="7">
        <v>0.1</v>
      </c>
      <c r="K149" s="6">
        <v>91.29</v>
      </c>
      <c r="L149" s="6">
        <v>46.66</v>
      </c>
      <c r="M149" s="6">
        <v>44.63</v>
      </c>
      <c r="N149" s="3" t="s">
        <v>88</v>
      </c>
    </row>
    <row r="150" spans="1:14">
      <c r="A150" s="3" t="s">
        <v>234</v>
      </c>
      <c r="B150" s="4">
        <v>45852</v>
      </c>
      <c r="C150" s="3" t="s">
        <v>67</v>
      </c>
      <c r="D150" s="3" t="s">
        <v>68</v>
      </c>
      <c r="E150" s="3" t="s">
        <v>90</v>
      </c>
      <c r="F150" s="3" t="s">
        <v>69</v>
      </c>
      <c r="G150" s="3" t="s">
        <v>70</v>
      </c>
      <c r="H150" s="5">
        <v>12</v>
      </c>
      <c r="I150" s="6">
        <v>95.24</v>
      </c>
      <c r="J150" s="7">
        <v>0.15</v>
      </c>
      <c r="K150" s="6">
        <v>971.45</v>
      </c>
      <c r="L150" s="6">
        <v>594.29999999999995</v>
      </c>
      <c r="M150" s="6">
        <v>377.15</v>
      </c>
      <c r="N150" s="3" t="s">
        <v>88</v>
      </c>
    </row>
    <row r="151" spans="1:14">
      <c r="A151" s="3" t="s">
        <v>235</v>
      </c>
      <c r="B151" s="4">
        <v>46221</v>
      </c>
      <c r="C151" s="3" t="s">
        <v>50</v>
      </c>
      <c r="D151" s="3" t="s">
        <v>51</v>
      </c>
      <c r="E151" s="3" t="s">
        <v>72</v>
      </c>
      <c r="F151" s="3" t="s">
        <v>84</v>
      </c>
      <c r="G151" s="3" t="s">
        <v>85</v>
      </c>
      <c r="H151" s="5">
        <v>9</v>
      </c>
      <c r="I151" s="6">
        <v>6.51</v>
      </c>
      <c r="J151" s="7">
        <v>0.1</v>
      </c>
      <c r="K151" s="6">
        <v>52.73</v>
      </c>
      <c r="L151" s="6">
        <v>23.44</v>
      </c>
      <c r="M151" s="6">
        <v>29.29</v>
      </c>
      <c r="N151" s="3" t="s">
        <v>48</v>
      </c>
    </row>
    <row r="152" spans="1:14">
      <c r="A152" s="3" t="s">
        <v>236</v>
      </c>
      <c r="B152" s="4">
        <v>45710</v>
      </c>
      <c r="C152" s="3" t="s">
        <v>56</v>
      </c>
      <c r="D152" s="3" t="s">
        <v>57</v>
      </c>
      <c r="E152" s="3" t="s">
        <v>58</v>
      </c>
      <c r="F152" s="3" t="s">
        <v>46</v>
      </c>
      <c r="G152" s="3" t="s">
        <v>93</v>
      </c>
      <c r="H152" s="5">
        <v>8</v>
      </c>
      <c r="I152" s="6">
        <v>26.96</v>
      </c>
      <c r="J152" s="7">
        <v>0.15</v>
      </c>
      <c r="K152" s="6">
        <v>183.33</v>
      </c>
      <c r="L152" s="6">
        <v>118.62</v>
      </c>
      <c r="M152" s="6">
        <v>64.709999999999994</v>
      </c>
      <c r="N152" s="3" t="s">
        <v>63</v>
      </c>
    </row>
    <row r="153" spans="1:14">
      <c r="A153" s="3" t="s">
        <v>237</v>
      </c>
      <c r="B153" s="4">
        <v>46057</v>
      </c>
      <c r="C153" s="3" t="s">
        <v>50</v>
      </c>
      <c r="D153" s="3" t="s">
        <v>51</v>
      </c>
      <c r="E153" s="3" t="s">
        <v>58</v>
      </c>
      <c r="F153" s="3" t="s">
        <v>84</v>
      </c>
      <c r="G153" s="3" t="s">
        <v>85</v>
      </c>
      <c r="H153" s="5">
        <v>11</v>
      </c>
      <c r="I153" s="6">
        <v>8.7100000000000009</v>
      </c>
      <c r="J153" s="7">
        <v>0.05</v>
      </c>
      <c r="K153" s="6">
        <v>91.02</v>
      </c>
      <c r="L153" s="6">
        <v>38.32</v>
      </c>
      <c r="M153" s="6">
        <v>52.7</v>
      </c>
      <c r="N153" s="3" t="s">
        <v>88</v>
      </c>
    </row>
    <row r="154" spans="1:14">
      <c r="A154" s="3" t="s">
        <v>238</v>
      </c>
      <c r="B154" s="4">
        <v>45805</v>
      </c>
      <c r="C154" s="3" t="s">
        <v>56</v>
      </c>
      <c r="D154" s="3" t="s">
        <v>57</v>
      </c>
      <c r="E154" s="3" t="s">
        <v>72</v>
      </c>
      <c r="F154" s="3" t="s">
        <v>46</v>
      </c>
      <c r="G154" s="3" t="s">
        <v>75</v>
      </c>
      <c r="H154" s="5">
        <v>2</v>
      </c>
      <c r="I154" s="6">
        <v>19.57</v>
      </c>
      <c r="J154" s="7">
        <v>0.15</v>
      </c>
      <c r="K154" s="6">
        <v>33.270000000000003</v>
      </c>
      <c r="L154" s="6">
        <v>18.79</v>
      </c>
      <c r="M154" s="6">
        <v>14.48</v>
      </c>
      <c r="N154" s="3" t="s">
        <v>63</v>
      </c>
    </row>
    <row r="155" spans="1:14">
      <c r="A155" s="3" t="s">
        <v>239</v>
      </c>
      <c r="B155" s="4">
        <v>46366</v>
      </c>
      <c r="C155" s="3" t="s">
        <v>50</v>
      </c>
      <c r="D155" s="3" t="s">
        <v>51</v>
      </c>
      <c r="E155" s="3" t="s">
        <v>90</v>
      </c>
      <c r="F155" s="3" t="s">
        <v>84</v>
      </c>
      <c r="G155" s="3" t="s">
        <v>96</v>
      </c>
      <c r="H155" s="5">
        <v>8</v>
      </c>
      <c r="I155" s="6">
        <v>10.220000000000001</v>
      </c>
      <c r="J155" s="7">
        <v>0</v>
      </c>
      <c r="K155" s="6">
        <v>81.760000000000005</v>
      </c>
      <c r="L155" s="6">
        <v>31.07</v>
      </c>
      <c r="M155" s="6">
        <v>50.69</v>
      </c>
      <c r="N155" s="3" t="s">
        <v>77</v>
      </c>
    </row>
    <row r="156" spans="1:14">
      <c r="A156" s="3" t="s">
        <v>240</v>
      </c>
      <c r="B156" s="4">
        <v>45989</v>
      </c>
      <c r="C156" s="3" t="s">
        <v>50</v>
      </c>
      <c r="D156" s="3" t="s">
        <v>51</v>
      </c>
      <c r="E156" s="3" t="s">
        <v>90</v>
      </c>
      <c r="F156" s="3" t="s">
        <v>46</v>
      </c>
      <c r="G156" s="3" t="s">
        <v>116</v>
      </c>
      <c r="H156" s="5">
        <v>12</v>
      </c>
      <c r="I156" s="6">
        <v>23.48</v>
      </c>
      <c r="J156" s="7">
        <v>0.1</v>
      </c>
      <c r="K156" s="6">
        <v>253.58</v>
      </c>
      <c r="L156" s="6">
        <v>140.88</v>
      </c>
      <c r="M156" s="6">
        <v>112.7</v>
      </c>
      <c r="N156" s="3" t="s">
        <v>77</v>
      </c>
    </row>
    <row r="157" spans="1:14">
      <c r="A157" s="3" t="s">
        <v>241</v>
      </c>
      <c r="B157" s="4">
        <v>46219</v>
      </c>
      <c r="C157" s="3" t="s">
        <v>56</v>
      </c>
      <c r="D157" s="3" t="s">
        <v>57</v>
      </c>
      <c r="E157" s="3" t="s">
        <v>72</v>
      </c>
      <c r="F157" s="3" t="s">
        <v>46</v>
      </c>
      <c r="G157" s="3" t="s">
        <v>116</v>
      </c>
      <c r="H157" s="5">
        <v>7</v>
      </c>
      <c r="I157" s="6">
        <v>20.13</v>
      </c>
      <c r="J157" s="7">
        <v>0</v>
      </c>
      <c r="K157" s="6">
        <v>140.91</v>
      </c>
      <c r="L157" s="6">
        <v>70.459999999999994</v>
      </c>
      <c r="M157" s="6">
        <v>70.45</v>
      </c>
      <c r="N157" s="3" t="s">
        <v>88</v>
      </c>
    </row>
    <row r="158" spans="1:14">
      <c r="A158" s="3" t="s">
        <v>242</v>
      </c>
      <c r="B158" s="4">
        <v>45940</v>
      </c>
      <c r="C158" s="3" t="s">
        <v>56</v>
      </c>
      <c r="D158" s="3" t="s">
        <v>57</v>
      </c>
      <c r="E158" s="3" t="s">
        <v>45</v>
      </c>
      <c r="F158" s="3" t="s">
        <v>52</v>
      </c>
      <c r="G158" s="3" t="s">
        <v>91</v>
      </c>
      <c r="H158" s="5">
        <v>9</v>
      </c>
      <c r="I158" s="6">
        <v>20.57</v>
      </c>
      <c r="J158" s="7">
        <v>0</v>
      </c>
      <c r="K158" s="6">
        <v>185.13</v>
      </c>
      <c r="L158" s="6">
        <v>90.71</v>
      </c>
      <c r="M158" s="6">
        <v>94.42</v>
      </c>
      <c r="N158" s="3" t="s">
        <v>88</v>
      </c>
    </row>
    <row r="159" spans="1:14">
      <c r="A159" s="3" t="s">
        <v>243</v>
      </c>
      <c r="B159" s="4">
        <v>46277</v>
      </c>
      <c r="C159" s="3" t="s">
        <v>56</v>
      </c>
      <c r="D159" s="3" t="s">
        <v>57</v>
      </c>
      <c r="E159" s="3" t="s">
        <v>90</v>
      </c>
      <c r="F159" s="3" t="s">
        <v>46</v>
      </c>
      <c r="G159" s="3" t="s">
        <v>93</v>
      </c>
      <c r="H159" s="5">
        <v>11</v>
      </c>
      <c r="I159" s="6">
        <v>24.5</v>
      </c>
      <c r="J159" s="7">
        <v>0</v>
      </c>
      <c r="K159" s="6">
        <v>269.5</v>
      </c>
      <c r="L159" s="6">
        <v>148.22999999999999</v>
      </c>
      <c r="M159" s="6">
        <v>121.27</v>
      </c>
      <c r="N159" s="3" t="s">
        <v>77</v>
      </c>
    </row>
    <row r="160" spans="1:14">
      <c r="A160" s="3" t="s">
        <v>244</v>
      </c>
      <c r="B160" s="4">
        <v>45999</v>
      </c>
      <c r="C160" s="3" t="s">
        <v>56</v>
      </c>
      <c r="D160" s="3" t="s">
        <v>57</v>
      </c>
      <c r="E160" s="3" t="s">
        <v>45</v>
      </c>
      <c r="F160" s="3" t="s">
        <v>69</v>
      </c>
      <c r="G160" s="3" t="s">
        <v>79</v>
      </c>
      <c r="H160" s="5">
        <v>1</v>
      </c>
      <c r="I160" s="6">
        <v>139.85</v>
      </c>
      <c r="J160" s="7">
        <v>0.05</v>
      </c>
      <c r="K160" s="6">
        <v>132.86000000000001</v>
      </c>
      <c r="L160" s="6">
        <v>81.11</v>
      </c>
      <c r="M160" s="6">
        <v>51.75</v>
      </c>
      <c r="N160" s="3" t="s">
        <v>65</v>
      </c>
    </row>
    <row r="161" spans="1:14">
      <c r="A161" s="3" t="s">
        <v>245</v>
      </c>
      <c r="B161" s="4">
        <v>46351</v>
      </c>
      <c r="C161" s="3" t="s">
        <v>74</v>
      </c>
      <c r="D161" s="3" t="s">
        <v>44</v>
      </c>
      <c r="E161" s="3" t="s">
        <v>45</v>
      </c>
      <c r="F161" s="3" t="s">
        <v>84</v>
      </c>
      <c r="G161" s="3" t="s">
        <v>85</v>
      </c>
      <c r="H161" s="5">
        <v>3</v>
      </c>
      <c r="I161" s="6">
        <v>9.39</v>
      </c>
      <c r="J161" s="7">
        <v>0.1</v>
      </c>
      <c r="K161" s="6">
        <v>25.35</v>
      </c>
      <c r="L161" s="6">
        <v>11.27</v>
      </c>
      <c r="M161" s="6">
        <v>14.08</v>
      </c>
      <c r="N161" s="3" t="s">
        <v>88</v>
      </c>
    </row>
    <row r="162" spans="1:14">
      <c r="A162" s="3" t="s">
        <v>246</v>
      </c>
      <c r="B162" s="4">
        <v>45848</v>
      </c>
      <c r="C162" s="3" t="s">
        <v>74</v>
      </c>
      <c r="D162" s="3" t="s">
        <v>44</v>
      </c>
      <c r="E162" s="3" t="s">
        <v>58</v>
      </c>
      <c r="F162" s="3" t="s">
        <v>46</v>
      </c>
      <c r="G162" s="3" t="s">
        <v>116</v>
      </c>
      <c r="H162" s="5">
        <v>1</v>
      </c>
      <c r="I162" s="6">
        <v>20.12</v>
      </c>
      <c r="J162" s="7">
        <v>0.05</v>
      </c>
      <c r="K162" s="6">
        <v>19.11</v>
      </c>
      <c r="L162" s="6">
        <v>10.06</v>
      </c>
      <c r="M162" s="6">
        <v>9.0500000000000007</v>
      </c>
      <c r="N162" s="3" t="s">
        <v>54</v>
      </c>
    </row>
    <row r="163" spans="1:14">
      <c r="A163" s="3" t="s">
        <v>247</v>
      </c>
      <c r="B163" s="4">
        <v>46281</v>
      </c>
      <c r="C163" s="3" t="s">
        <v>61</v>
      </c>
      <c r="D163" s="3" t="s">
        <v>62</v>
      </c>
      <c r="E163" s="3" t="s">
        <v>45</v>
      </c>
      <c r="F163" s="3" t="s">
        <v>69</v>
      </c>
      <c r="G163" s="3" t="s">
        <v>81</v>
      </c>
      <c r="H163" s="5">
        <v>5</v>
      </c>
      <c r="I163" s="6">
        <v>258.39999999999998</v>
      </c>
      <c r="J163" s="7">
        <v>0.05</v>
      </c>
      <c r="K163" s="6">
        <v>1227.4000000000001</v>
      </c>
      <c r="L163" s="6">
        <v>775.2</v>
      </c>
      <c r="M163" s="6">
        <v>452.2</v>
      </c>
      <c r="N163" s="3" t="s">
        <v>54</v>
      </c>
    </row>
    <row r="164" spans="1:14">
      <c r="A164" s="3" t="s">
        <v>248</v>
      </c>
      <c r="B164" s="4">
        <v>45798</v>
      </c>
      <c r="C164" s="3" t="s">
        <v>67</v>
      </c>
      <c r="D164" s="3" t="s">
        <v>68</v>
      </c>
      <c r="E164" s="3" t="s">
        <v>90</v>
      </c>
      <c r="F164" s="3" t="s">
        <v>84</v>
      </c>
      <c r="G164" s="3" t="s">
        <v>85</v>
      </c>
      <c r="H164" s="5">
        <v>8</v>
      </c>
      <c r="I164" s="6">
        <v>9.5</v>
      </c>
      <c r="J164" s="7">
        <v>0.15</v>
      </c>
      <c r="K164" s="6">
        <v>64.599999999999994</v>
      </c>
      <c r="L164" s="6">
        <v>30.4</v>
      </c>
      <c r="M164" s="6">
        <v>34.200000000000003</v>
      </c>
      <c r="N164" s="3" t="s">
        <v>63</v>
      </c>
    </row>
    <row r="165" spans="1:14">
      <c r="A165" s="3" t="s">
        <v>249</v>
      </c>
      <c r="B165" s="4">
        <v>46293</v>
      </c>
      <c r="C165" s="3" t="s">
        <v>67</v>
      </c>
      <c r="D165" s="3" t="s">
        <v>68</v>
      </c>
      <c r="E165" s="3" t="s">
        <v>58</v>
      </c>
      <c r="F165" s="3" t="s">
        <v>69</v>
      </c>
      <c r="G165" s="3" t="s">
        <v>81</v>
      </c>
      <c r="H165" s="5">
        <v>6</v>
      </c>
      <c r="I165" s="6">
        <v>260.64</v>
      </c>
      <c r="J165" s="7">
        <v>0</v>
      </c>
      <c r="K165" s="6">
        <v>1563.84</v>
      </c>
      <c r="L165" s="6">
        <v>938.3</v>
      </c>
      <c r="M165" s="6">
        <v>625.54</v>
      </c>
      <c r="N165" s="3" t="s">
        <v>88</v>
      </c>
    </row>
    <row r="166" spans="1:14">
      <c r="A166" s="3" t="s">
        <v>250</v>
      </c>
      <c r="B166" s="4">
        <v>45939</v>
      </c>
      <c r="C166" s="3" t="s">
        <v>251</v>
      </c>
      <c r="D166" s="3" t="s">
        <v>68</v>
      </c>
      <c r="E166" s="3" t="s">
        <v>90</v>
      </c>
      <c r="F166" s="3" t="s">
        <v>52</v>
      </c>
      <c r="G166" s="3" t="s">
        <v>53</v>
      </c>
      <c r="H166" s="5">
        <v>11</v>
      </c>
      <c r="I166" s="6">
        <v>8.65</v>
      </c>
      <c r="J166" s="7">
        <v>0</v>
      </c>
      <c r="K166" s="6">
        <v>95.15</v>
      </c>
      <c r="L166" s="6">
        <v>40.909999999999997</v>
      </c>
      <c r="M166" s="6">
        <v>54.24</v>
      </c>
      <c r="N166" s="3" t="s">
        <v>88</v>
      </c>
    </row>
    <row r="167" spans="1:14">
      <c r="A167" s="3" t="s">
        <v>252</v>
      </c>
      <c r="B167" s="4">
        <v>46248</v>
      </c>
      <c r="C167" s="3" t="s">
        <v>61</v>
      </c>
      <c r="D167" s="3" t="s">
        <v>62</v>
      </c>
      <c r="E167" s="3" t="s">
        <v>58</v>
      </c>
      <c r="F167" s="3" t="s">
        <v>46</v>
      </c>
      <c r="G167" s="3" t="s">
        <v>75</v>
      </c>
      <c r="H167" s="5">
        <v>3</v>
      </c>
      <c r="I167" s="6">
        <v>19.98</v>
      </c>
      <c r="J167" s="7">
        <v>0.05</v>
      </c>
      <c r="K167" s="6">
        <v>56.94</v>
      </c>
      <c r="L167" s="6">
        <v>28.77</v>
      </c>
      <c r="M167" s="6">
        <v>28.17</v>
      </c>
      <c r="N167" s="3" t="s">
        <v>88</v>
      </c>
    </row>
    <row r="168" spans="1:14">
      <c r="A168" s="3" t="s">
        <v>253</v>
      </c>
      <c r="B168" s="4">
        <v>45736</v>
      </c>
      <c r="C168" s="3" t="s">
        <v>67</v>
      </c>
      <c r="D168" s="3" t="s">
        <v>68</v>
      </c>
      <c r="E168" s="3" t="s">
        <v>90</v>
      </c>
      <c r="F168" s="3" t="s">
        <v>69</v>
      </c>
      <c r="G168" s="3" t="s">
        <v>70</v>
      </c>
      <c r="H168" s="5">
        <v>9</v>
      </c>
      <c r="I168" s="6">
        <v>96.33</v>
      </c>
      <c r="J168" s="7">
        <v>0.1</v>
      </c>
      <c r="K168" s="6">
        <v>780.27</v>
      </c>
      <c r="L168" s="6">
        <v>450.82</v>
      </c>
      <c r="M168" s="6">
        <v>329.45</v>
      </c>
      <c r="N168" s="3" t="s">
        <v>48</v>
      </c>
    </row>
    <row r="169" spans="1:14">
      <c r="A169" s="3" t="s">
        <v>254</v>
      </c>
      <c r="B169" s="4">
        <v>46277</v>
      </c>
      <c r="C169" s="3" t="s">
        <v>50</v>
      </c>
      <c r="D169" s="3" t="s">
        <v>51</v>
      </c>
      <c r="E169" s="3" t="s">
        <v>72</v>
      </c>
      <c r="F169" s="3" t="s">
        <v>52</v>
      </c>
      <c r="G169" s="3" t="s">
        <v>91</v>
      </c>
      <c r="H169" s="5">
        <v>4</v>
      </c>
      <c r="I169" s="6">
        <v>20.72</v>
      </c>
      <c r="J169" s="7">
        <v>0.05</v>
      </c>
      <c r="K169" s="6">
        <v>78.739999999999995</v>
      </c>
      <c r="L169" s="6">
        <v>40.61</v>
      </c>
      <c r="M169" s="6">
        <v>38.130000000000003</v>
      </c>
      <c r="N169" s="3" t="s">
        <v>77</v>
      </c>
    </row>
    <row r="170" spans="1:14">
      <c r="A170" s="3" t="s">
        <v>255</v>
      </c>
      <c r="B170" s="4">
        <v>45780</v>
      </c>
      <c r="C170" s="3" t="s">
        <v>67</v>
      </c>
      <c r="D170" s="3" t="s">
        <v>68</v>
      </c>
      <c r="E170" s="3" t="s">
        <v>90</v>
      </c>
      <c r="F170" s="3" t="s">
        <v>46</v>
      </c>
      <c r="G170" s="3" t="s">
        <v>116</v>
      </c>
      <c r="H170" s="5">
        <v>3</v>
      </c>
      <c r="I170" s="6">
        <v>22.25</v>
      </c>
      <c r="J170" s="7">
        <v>0.05</v>
      </c>
      <c r="K170" s="6">
        <v>63.41</v>
      </c>
      <c r="L170" s="6">
        <v>33.380000000000003</v>
      </c>
      <c r="M170" s="6">
        <v>30.03</v>
      </c>
      <c r="N170" s="3" t="s">
        <v>88</v>
      </c>
    </row>
    <row r="171" spans="1:14">
      <c r="A171" s="3" t="s">
        <v>256</v>
      </c>
      <c r="B171" s="4">
        <v>46167</v>
      </c>
      <c r="C171" s="3" t="s">
        <v>74</v>
      </c>
      <c r="D171" s="3" t="s">
        <v>44</v>
      </c>
      <c r="E171" s="3" t="s">
        <v>58</v>
      </c>
      <c r="F171" s="3" t="s">
        <v>84</v>
      </c>
      <c r="G171" s="3" t="s">
        <v>134</v>
      </c>
      <c r="H171" s="5">
        <v>4</v>
      </c>
      <c r="I171" s="6">
        <v>16.22</v>
      </c>
      <c r="J171" s="7">
        <v>0.05</v>
      </c>
      <c r="K171" s="6">
        <v>61.64</v>
      </c>
      <c r="L171" s="6">
        <v>29.84</v>
      </c>
      <c r="M171" s="6">
        <v>31.8</v>
      </c>
      <c r="N171" s="3" t="s">
        <v>48</v>
      </c>
    </row>
    <row r="172" spans="1:14">
      <c r="A172" s="3" t="s">
        <v>257</v>
      </c>
      <c r="B172" s="4">
        <v>45669</v>
      </c>
      <c r="C172" s="3" t="s">
        <v>50</v>
      </c>
      <c r="D172" s="3" t="s">
        <v>51</v>
      </c>
      <c r="E172" s="3" t="s">
        <v>58</v>
      </c>
      <c r="F172" s="3" t="s">
        <v>46</v>
      </c>
      <c r="G172" s="3" t="s">
        <v>75</v>
      </c>
      <c r="H172" s="5">
        <v>2</v>
      </c>
      <c r="I172" s="6">
        <v>16.38</v>
      </c>
      <c r="J172" s="7">
        <v>0</v>
      </c>
      <c r="K172" s="6">
        <v>32.76</v>
      </c>
      <c r="L172" s="6">
        <v>15.72</v>
      </c>
      <c r="M172" s="6">
        <v>17.04</v>
      </c>
      <c r="N172" s="3" t="s">
        <v>54</v>
      </c>
    </row>
    <row r="173" spans="1:14">
      <c r="A173" s="3" t="s">
        <v>258</v>
      </c>
      <c r="B173" s="4">
        <v>46255</v>
      </c>
      <c r="C173" s="3" t="s">
        <v>56</v>
      </c>
      <c r="D173" s="3" t="s">
        <v>57</v>
      </c>
      <c r="E173" s="3" t="s">
        <v>72</v>
      </c>
      <c r="F173" s="3" t="s">
        <v>52</v>
      </c>
      <c r="G173" s="3" t="s">
        <v>53</v>
      </c>
      <c r="H173" s="5">
        <v>12</v>
      </c>
      <c r="I173" s="6">
        <v>9.93</v>
      </c>
      <c r="J173" s="7">
        <v>0.05</v>
      </c>
      <c r="K173" s="6">
        <v>113.2</v>
      </c>
      <c r="L173" s="6">
        <v>51.24</v>
      </c>
      <c r="M173" s="6">
        <v>61.96</v>
      </c>
      <c r="N173" s="3" t="s">
        <v>48</v>
      </c>
    </row>
    <row r="174" spans="1:14">
      <c r="A174" s="3" t="s">
        <v>259</v>
      </c>
      <c r="B174" s="4">
        <v>45720</v>
      </c>
      <c r="C174" s="3" t="s">
        <v>61</v>
      </c>
      <c r="D174" s="3" t="s">
        <v>62</v>
      </c>
      <c r="E174" s="3" t="s">
        <v>72</v>
      </c>
      <c r="F174" s="3" t="s">
        <v>52</v>
      </c>
      <c r="G174" s="3" t="s">
        <v>53</v>
      </c>
      <c r="H174" s="5">
        <v>4</v>
      </c>
      <c r="I174" s="6">
        <v>9.3000000000000007</v>
      </c>
      <c r="J174" s="7">
        <v>0.1</v>
      </c>
      <c r="K174" s="6">
        <v>33.479999999999997</v>
      </c>
      <c r="L174" s="6">
        <v>16</v>
      </c>
      <c r="M174" s="6">
        <v>17.48</v>
      </c>
      <c r="N174" s="3" t="s">
        <v>77</v>
      </c>
    </row>
    <row r="175" spans="1:14">
      <c r="A175" s="3" t="s">
        <v>260</v>
      </c>
      <c r="B175" s="4">
        <v>46283</v>
      </c>
      <c r="C175" s="3" t="s">
        <v>61</v>
      </c>
      <c r="D175" s="3" t="s">
        <v>62</v>
      </c>
      <c r="E175" s="3" t="s">
        <v>72</v>
      </c>
      <c r="F175" s="3" t="s">
        <v>46</v>
      </c>
      <c r="G175" s="3" t="s">
        <v>116</v>
      </c>
      <c r="H175" s="5">
        <v>3</v>
      </c>
      <c r="I175" s="6">
        <v>23.74</v>
      </c>
      <c r="J175" s="7">
        <v>0.1</v>
      </c>
      <c r="K175" s="6">
        <v>64.099999999999994</v>
      </c>
      <c r="L175" s="6">
        <v>35.61</v>
      </c>
      <c r="M175" s="6">
        <v>28.49</v>
      </c>
      <c r="N175" s="3" t="s">
        <v>54</v>
      </c>
    </row>
    <row r="176" spans="1:14">
      <c r="A176" s="3" t="s">
        <v>261</v>
      </c>
      <c r="B176" s="4">
        <v>45783</v>
      </c>
      <c r="C176" s="3" t="s">
        <v>61</v>
      </c>
      <c r="D176" s="3" t="s">
        <v>62</v>
      </c>
      <c r="E176" s="3" t="s">
        <v>45</v>
      </c>
      <c r="F176" s="3" t="s">
        <v>69</v>
      </c>
      <c r="G176" s="3" t="s">
        <v>70</v>
      </c>
      <c r="H176" s="5">
        <v>12</v>
      </c>
      <c r="I176" s="6">
        <v>96.34</v>
      </c>
      <c r="J176" s="7">
        <v>0.1</v>
      </c>
      <c r="K176" s="6">
        <v>1040.47</v>
      </c>
      <c r="L176" s="6">
        <v>601.16</v>
      </c>
      <c r="M176" s="6">
        <v>439.31</v>
      </c>
      <c r="N176" s="3" t="s">
        <v>88</v>
      </c>
    </row>
    <row r="177" spans="1:14">
      <c r="A177" s="3" t="s">
        <v>262</v>
      </c>
      <c r="B177" s="4">
        <v>46200</v>
      </c>
      <c r="C177" s="3" t="s">
        <v>74</v>
      </c>
      <c r="D177" s="3" t="s">
        <v>44</v>
      </c>
      <c r="E177" s="3" t="s">
        <v>72</v>
      </c>
      <c r="F177" s="3" t="s">
        <v>84</v>
      </c>
      <c r="G177" s="3" t="s">
        <v>96</v>
      </c>
      <c r="H177" s="5">
        <v>10</v>
      </c>
      <c r="I177" s="6">
        <v>10.199999999999999</v>
      </c>
      <c r="J177" s="7">
        <v>0</v>
      </c>
      <c r="K177" s="6">
        <v>102</v>
      </c>
      <c r="L177" s="6">
        <v>38.76</v>
      </c>
      <c r="M177" s="6">
        <v>63.24</v>
      </c>
      <c r="N177" s="3" t="s">
        <v>48</v>
      </c>
    </row>
    <row r="178" spans="1:14">
      <c r="A178" s="3" t="s">
        <v>263</v>
      </c>
      <c r="B178" s="4">
        <v>45734</v>
      </c>
      <c r="C178" s="3" t="s">
        <v>61</v>
      </c>
      <c r="D178" s="3" t="s">
        <v>62</v>
      </c>
      <c r="E178" s="3" t="s">
        <v>90</v>
      </c>
      <c r="F178" s="3" t="s">
        <v>46</v>
      </c>
      <c r="G178" s="3" t="s">
        <v>116</v>
      </c>
      <c r="H178" s="5">
        <v>7</v>
      </c>
      <c r="I178" s="6">
        <v>23.74</v>
      </c>
      <c r="J178" s="7">
        <v>0.1</v>
      </c>
      <c r="K178" s="6">
        <v>149.56</v>
      </c>
      <c r="L178" s="6">
        <v>83.09</v>
      </c>
      <c r="M178" s="6">
        <v>66.47</v>
      </c>
      <c r="N178" s="3" t="s">
        <v>48</v>
      </c>
    </row>
    <row r="179" spans="1:14">
      <c r="A179" s="3" t="s">
        <v>264</v>
      </c>
      <c r="B179" s="4">
        <v>46369</v>
      </c>
      <c r="C179" s="3" t="s">
        <v>56</v>
      </c>
      <c r="D179" s="3" t="s">
        <v>57</v>
      </c>
      <c r="E179" s="3" t="s">
        <v>58</v>
      </c>
      <c r="F179" s="3" t="s">
        <v>52</v>
      </c>
      <c r="G179" s="3" t="s">
        <v>53</v>
      </c>
      <c r="H179" s="5">
        <v>3</v>
      </c>
      <c r="I179" s="6">
        <v>11.27</v>
      </c>
      <c r="J179" s="7">
        <v>0.1</v>
      </c>
      <c r="K179" s="6">
        <v>30.43</v>
      </c>
      <c r="L179" s="6">
        <v>14.54</v>
      </c>
      <c r="M179" s="6">
        <v>15.89</v>
      </c>
      <c r="N179" s="3" t="s">
        <v>77</v>
      </c>
    </row>
    <row r="180" spans="1:14">
      <c r="A180" s="3" t="s">
        <v>265</v>
      </c>
      <c r="B180" s="4" t="s">
        <v>266</v>
      </c>
      <c r="C180" s="3" t="s">
        <v>74</v>
      </c>
      <c r="D180" s="3" t="s">
        <v>44</v>
      </c>
      <c r="E180" s="3" t="s">
        <v>72</v>
      </c>
      <c r="F180" s="3" t="s">
        <v>69</v>
      </c>
      <c r="G180" s="3" t="s">
        <v>70</v>
      </c>
      <c r="H180" s="5">
        <v>7</v>
      </c>
      <c r="I180" s="6">
        <v>94.94</v>
      </c>
      <c r="J180" s="7">
        <v>0.1</v>
      </c>
      <c r="K180" s="6">
        <v>598.12</v>
      </c>
      <c r="L180" s="6">
        <v>345.58</v>
      </c>
      <c r="M180" s="6">
        <v>252.54</v>
      </c>
      <c r="N180" s="3" t="s">
        <v>63</v>
      </c>
    </row>
    <row r="181" spans="1:14">
      <c r="A181" s="3" t="s">
        <v>267</v>
      </c>
      <c r="B181" s="4">
        <v>46164</v>
      </c>
      <c r="C181" s="3" t="s">
        <v>67</v>
      </c>
      <c r="D181" s="3" t="s">
        <v>68</v>
      </c>
      <c r="E181" s="3" t="s">
        <v>90</v>
      </c>
      <c r="F181" s="3" t="s">
        <v>69</v>
      </c>
      <c r="G181" s="3" t="s">
        <v>79</v>
      </c>
      <c r="H181" s="5">
        <v>10</v>
      </c>
      <c r="I181" s="6">
        <v>139.04</v>
      </c>
      <c r="J181" s="7">
        <v>0.15</v>
      </c>
      <c r="K181" s="6">
        <v>1181.8399999999999</v>
      </c>
      <c r="L181" s="6">
        <v>806.43</v>
      </c>
      <c r="M181" s="6">
        <v>375.41</v>
      </c>
      <c r="N181" s="3" t="s">
        <v>54</v>
      </c>
    </row>
    <row r="182" spans="1:14">
      <c r="A182" s="3" t="s">
        <v>268</v>
      </c>
      <c r="B182" s="4">
        <v>45672</v>
      </c>
      <c r="C182" s="3" t="s">
        <v>56</v>
      </c>
      <c r="D182" s="3" t="s">
        <v>57</v>
      </c>
      <c r="E182" s="3" t="s">
        <v>72</v>
      </c>
      <c r="F182" s="3" t="s">
        <v>84</v>
      </c>
      <c r="G182" s="3" t="s">
        <v>134</v>
      </c>
      <c r="H182" s="5">
        <v>2</v>
      </c>
      <c r="I182" s="6">
        <v>16.7</v>
      </c>
      <c r="J182" s="7">
        <v>0.05</v>
      </c>
      <c r="K182" s="6">
        <v>31.73</v>
      </c>
      <c r="L182" s="6">
        <v>15.36</v>
      </c>
      <c r="M182" s="6">
        <v>16.37</v>
      </c>
      <c r="N182" s="3" t="s">
        <v>65</v>
      </c>
    </row>
    <row r="183" spans="1:14">
      <c r="A183" s="3" t="s">
        <v>269</v>
      </c>
      <c r="B183" s="4">
        <v>46125</v>
      </c>
      <c r="C183" s="3" t="s">
        <v>61</v>
      </c>
      <c r="D183" s="3" t="s">
        <v>62</v>
      </c>
      <c r="E183" s="3" t="s">
        <v>58</v>
      </c>
      <c r="F183" s="3" t="s">
        <v>46</v>
      </c>
      <c r="G183" s="3" t="s">
        <v>93</v>
      </c>
      <c r="H183" s="5">
        <v>4</v>
      </c>
      <c r="I183" s="6">
        <v>23.38</v>
      </c>
      <c r="J183" s="7">
        <v>0.15</v>
      </c>
      <c r="K183" s="6">
        <v>79.489999999999995</v>
      </c>
      <c r="L183" s="6">
        <v>51.44</v>
      </c>
      <c r="M183" s="6">
        <v>28.05</v>
      </c>
      <c r="N183" s="3" t="s">
        <v>54</v>
      </c>
    </row>
    <row r="184" spans="1:14">
      <c r="A184" s="3" t="s">
        <v>270</v>
      </c>
      <c r="B184" s="4">
        <v>45682</v>
      </c>
      <c r="C184" s="3" t="s">
        <v>74</v>
      </c>
      <c r="D184" s="3" t="s">
        <v>44</v>
      </c>
      <c r="E184" s="3" t="s">
        <v>58</v>
      </c>
      <c r="F184" s="3" t="s">
        <v>46</v>
      </c>
      <c r="G184" s="3" t="s">
        <v>93</v>
      </c>
      <c r="H184" s="5">
        <v>2</v>
      </c>
      <c r="I184" s="6">
        <v>24.53</v>
      </c>
      <c r="J184" s="7">
        <v>0.1</v>
      </c>
      <c r="K184" s="6">
        <v>44.15</v>
      </c>
      <c r="L184" s="6">
        <v>26.98</v>
      </c>
      <c r="M184" s="6">
        <v>17.170000000000002</v>
      </c>
      <c r="N184" s="3" t="s">
        <v>63</v>
      </c>
    </row>
    <row r="185" spans="1:14">
      <c r="A185" s="3" t="s">
        <v>271</v>
      </c>
      <c r="B185" s="4">
        <v>46031</v>
      </c>
      <c r="C185" s="3" t="s">
        <v>61</v>
      </c>
      <c r="D185" s="3" t="s">
        <v>62</v>
      </c>
      <c r="E185" s="3" t="s">
        <v>90</v>
      </c>
      <c r="F185" s="3" t="s">
        <v>84</v>
      </c>
      <c r="G185" s="3" t="s">
        <v>134</v>
      </c>
      <c r="H185" s="5">
        <v>4</v>
      </c>
      <c r="I185" s="6">
        <v>13.31</v>
      </c>
      <c r="J185" s="7">
        <v>0.1</v>
      </c>
      <c r="K185" s="6">
        <v>47.92</v>
      </c>
      <c r="L185" s="6">
        <v>24.49</v>
      </c>
      <c r="M185" s="6">
        <v>23.43</v>
      </c>
      <c r="N185" s="3" t="s">
        <v>48</v>
      </c>
    </row>
    <row r="186" spans="1:14">
      <c r="A186" s="3" t="s">
        <v>272</v>
      </c>
      <c r="B186" s="4">
        <v>45692</v>
      </c>
      <c r="C186" s="3" t="s">
        <v>50</v>
      </c>
      <c r="D186" s="3" t="s">
        <v>51</v>
      </c>
      <c r="E186" s="3" t="s">
        <v>72</v>
      </c>
      <c r="F186" s="3" t="s">
        <v>69</v>
      </c>
      <c r="G186" s="3" t="s">
        <v>81</v>
      </c>
      <c r="H186" s="5">
        <v>7</v>
      </c>
      <c r="I186" s="6">
        <v>260.64999999999998</v>
      </c>
      <c r="J186" s="7">
        <v>0.1</v>
      </c>
      <c r="K186" s="6">
        <v>1642.09</v>
      </c>
      <c r="L186" s="6">
        <v>1094.73</v>
      </c>
      <c r="M186" s="6">
        <v>547.36</v>
      </c>
      <c r="N186" s="3" t="s">
        <v>54</v>
      </c>
    </row>
    <row r="187" spans="1:14">
      <c r="A187" s="3" t="s">
        <v>273</v>
      </c>
      <c r="B187" s="4">
        <v>46114</v>
      </c>
      <c r="C187" s="3" t="s">
        <v>56</v>
      </c>
      <c r="D187" s="3" t="s">
        <v>57</v>
      </c>
      <c r="E187" s="3" t="s">
        <v>58</v>
      </c>
      <c r="F187" s="3" t="s">
        <v>46</v>
      </c>
      <c r="G187" s="3" t="s">
        <v>93</v>
      </c>
      <c r="H187" s="5">
        <v>11</v>
      </c>
      <c r="I187" s="6">
        <v>26.54</v>
      </c>
      <c r="J187" s="7">
        <v>0.15</v>
      </c>
      <c r="K187" s="6">
        <v>248.15</v>
      </c>
      <c r="L187" s="6">
        <v>160.57</v>
      </c>
      <c r="M187" s="6">
        <v>87.58</v>
      </c>
      <c r="N187" s="3" t="s">
        <v>48</v>
      </c>
    </row>
    <row r="188" spans="1:14">
      <c r="A188" s="3" t="s">
        <v>274</v>
      </c>
      <c r="B188" s="4">
        <v>46005</v>
      </c>
      <c r="C188" s="3" t="s">
        <v>74</v>
      </c>
      <c r="D188" s="3" t="s">
        <v>44</v>
      </c>
      <c r="E188" s="3" t="s">
        <v>72</v>
      </c>
      <c r="F188" s="3" t="s">
        <v>69</v>
      </c>
      <c r="G188" s="3" t="s">
        <v>79</v>
      </c>
      <c r="H188" s="5">
        <v>1</v>
      </c>
      <c r="I188" s="6">
        <v>139.94</v>
      </c>
      <c r="J188" s="7">
        <v>0</v>
      </c>
      <c r="K188" s="6">
        <v>139.94</v>
      </c>
      <c r="L188" s="6">
        <v>81.17</v>
      </c>
      <c r="M188" s="6">
        <v>58.77</v>
      </c>
      <c r="N188" s="3" t="s">
        <v>65</v>
      </c>
    </row>
    <row r="189" spans="1:14">
      <c r="A189" s="3" t="s">
        <v>275</v>
      </c>
      <c r="B189" s="4">
        <v>46380</v>
      </c>
      <c r="C189" s="3" t="s">
        <v>50</v>
      </c>
      <c r="D189" s="3" t="s">
        <v>51</v>
      </c>
      <c r="E189" s="3" t="s">
        <v>45</v>
      </c>
      <c r="F189" s="3" t="s">
        <v>69</v>
      </c>
      <c r="G189" s="3" t="s">
        <v>70</v>
      </c>
      <c r="H189" s="5">
        <v>7</v>
      </c>
      <c r="I189" s="6">
        <v>93.81</v>
      </c>
      <c r="J189" s="7">
        <v>0</v>
      </c>
      <c r="K189" s="6">
        <v>656.67</v>
      </c>
      <c r="L189" s="6">
        <v>341.47</v>
      </c>
      <c r="M189" s="6">
        <v>315.2</v>
      </c>
      <c r="N189" s="3" t="s">
        <v>63</v>
      </c>
    </row>
    <row r="190" spans="1:14">
      <c r="A190" s="3" t="s">
        <v>276</v>
      </c>
      <c r="B190" s="4">
        <v>45769</v>
      </c>
      <c r="C190" s="3" t="s">
        <v>50</v>
      </c>
      <c r="D190" s="3" t="s">
        <v>51</v>
      </c>
      <c r="E190" s="3" t="s">
        <v>90</v>
      </c>
      <c r="F190" s="3" t="s">
        <v>84</v>
      </c>
      <c r="G190" s="3" t="s">
        <v>277</v>
      </c>
      <c r="H190" s="5">
        <v>4</v>
      </c>
      <c r="I190" s="6">
        <v>12.08</v>
      </c>
      <c r="J190" s="7">
        <v>0</v>
      </c>
      <c r="K190" s="6">
        <v>48.32</v>
      </c>
      <c r="L190" s="6">
        <v>18.36</v>
      </c>
      <c r="M190" s="6">
        <v>29.96</v>
      </c>
      <c r="N190" s="3" t="s">
        <v>48</v>
      </c>
    </row>
    <row r="191" spans="1:14">
      <c r="A191" s="3" t="s">
        <v>278</v>
      </c>
      <c r="B191" s="4">
        <v>46064</v>
      </c>
      <c r="C191" s="3" t="s">
        <v>74</v>
      </c>
      <c r="D191" s="3" t="s">
        <v>44</v>
      </c>
      <c r="E191" s="3" t="s">
        <v>90</v>
      </c>
      <c r="F191" s="3" t="s">
        <v>84</v>
      </c>
      <c r="G191" s="3" t="s">
        <v>134</v>
      </c>
      <c r="H191" s="5">
        <v>11</v>
      </c>
      <c r="I191" s="6">
        <v>13.91</v>
      </c>
      <c r="J191" s="7">
        <v>0.1</v>
      </c>
      <c r="K191" s="6">
        <v>137.71</v>
      </c>
      <c r="L191" s="6">
        <v>70.38</v>
      </c>
      <c r="M191" s="6">
        <v>67.33</v>
      </c>
      <c r="N191" s="3" t="s">
        <v>63</v>
      </c>
    </row>
    <row r="192" spans="1:14">
      <c r="A192" s="3" t="s">
        <v>279</v>
      </c>
      <c r="B192" s="4">
        <v>45672</v>
      </c>
      <c r="C192" s="3" t="s">
        <v>74</v>
      </c>
      <c r="D192" s="3" t="s">
        <v>44</v>
      </c>
      <c r="E192" s="3" t="s">
        <v>58</v>
      </c>
      <c r="F192" s="3" t="s">
        <v>84</v>
      </c>
      <c r="G192" s="3" t="s">
        <v>85</v>
      </c>
      <c r="H192" s="5">
        <v>9</v>
      </c>
      <c r="I192" s="6">
        <v>8.73</v>
      </c>
      <c r="J192" s="7">
        <v>0</v>
      </c>
      <c r="K192" s="6">
        <v>78.569999999999993</v>
      </c>
      <c r="L192" s="6">
        <v>31.43</v>
      </c>
      <c r="M192" s="6">
        <v>47.14</v>
      </c>
      <c r="N192" s="3" t="s">
        <v>77</v>
      </c>
    </row>
    <row r="193" spans="1:14">
      <c r="A193" s="3" t="s">
        <v>280</v>
      </c>
      <c r="B193" s="4">
        <v>46027</v>
      </c>
      <c r="C193" s="3" t="s">
        <v>67</v>
      </c>
      <c r="D193" s="3" t="s">
        <v>68</v>
      </c>
      <c r="E193" s="3" t="s">
        <v>90</v>
      </c>
      <c r="F193" s="3" t="s">
        <v>69</v>
      </c>
      <c r="G193" s="3" t="s">
        <v>70</v>
      </c>
      <c r="H193" s="5">
        <v>3</v>
      </c>
      <c r="I193" s="6">
        <v>94.61</v>
      </c>
      <c r="J193" s="7">
        <v>0.15</v>
      </c>
      <c r="K193" s="6">
        <v>241.26</v>
      </c>
      <c r="L193" s="6">
        <v>147.59</v>
      </c>
      <c r="M193" s="6">
        <v>93.67</v>
      </c>
      <c r="N193" s="3" t="s">
        <v>63</v>
      </c>
    </row>
    <row r="194" spans="1:14">
      <c r="A194" s="3" t="s">
        <v>281</v>
      </c>
      <c r="B194" s="4">
        <v>45895</v>
      </c>
      <c r="C194" s="3" t="s">
        <v>67</v>
      </c>
      <c r="D194" s="3" t="s">
        <v>68</v>
      </c>
      <c r="E194" s="3" t="s">
        <v>58</v>
      </c>
      <c r="F194" s="3" t="s">
        <v>69</v>
      </c>
      <c r="G194" s="3" t="s">
        <v>70</v>
      </c>
      <c r="H194" s="5">
        <v>4</v>
      </c>
      <c r="I194" s="6">
        <v>94.08</v>
      </c>
      <c r="J194" s="7">
        <v>0.05</v>
      </c>
      <c r="K194" s="6">
        <v>357.5</v>
      </c>
      <c r="L194" s="6">
        <v>195.69</v>
      </c>
      <c r="M194" s="6">
        <v>161.81</v>
      </c>
      <c r="N194" s="3" t="s">
        <v>63</v>
      </c>
    </row>
    <row r="195" spans="1:14">
      <c r="A195" s="3" t="s">
        <v>282</v>
      </c>
      <c r="B195" s="4">
        <v>46362</v>
      </c>
      <c r="C195" s="3" t="s">
        <v>50</v>
      </c>
      <c r="D195" s="3" t="s">
        <v>51</v>
      </c>
      <c r="E195" s="3" t="s">
        <v>58</v>
      </c>
      <c r="F195" s="3" t="s">
        <v>46</v>
      </c>
      <c r="G195" s="3" t="s">
        <v>116</v>
      </c>
      <c r="H195" s="5">
        <v>9</v>
      </c>
      <c r="I195" s="6">
        <v>21.82</v>
      </c>
      <c r="J195" s="7">
        <v>0</v>
      </c>
      <c r="K195" s="6">
        <v>196.38</v>
      </c>
      <c r="L195" s="6">
        <v>98.19</v>
      </c>
      <c r="M195" s="6">
        <v>98.19</v>
      </c>
      <c r="N195" s="3" t="s">
        <v>54</v>
      </c>
    </row>
    <row r="196" spans="1:14">
      <c r="A196" s="3" t="s">
        <v>283</v>
      </c>
      <c r="B196" s="4">
        <v>45973</v>
      </c>
      <c r="C196" s="3" t="s">
        <v>67</v>
      </c>
      <c r="D196" s="3" t="s">
        <v>68</v>
      </c>
      <c r="E196" s="3" t="s">
        <v>58</v>
      </c>
      <c r="F196" s="3" t="s">
        <v>84</v>
      </c>
      <c r="G196" s="3" t="s">
        <v>134</v>
      </c>
      <c r="H196" s="5">
        <v>7</v>
      </c>
      <c r="I196" s="6">
        <v>16.55</v>
      </c>
      <c r="J196" s="7">
        <v>0.15</v>
      </c>
      <c r="K196" s="6">
        <v>98.47</v>
      </c>
      <c r="L196" s="6">
        <v>53.29</v>
      </c>
      <c r="M196" s="6">
        <v>45.18</v>
      </c>
      <c r="N196" s="3" t="s">
        <v>65</v>
      </c>
    </row>
    <row r="197" spans="1:14">
      <c r="A197" s="3" t="s">
        <v>284</v>
      </c>
      <c r="B197" s="4">
        <v>46330</v>
      </c>
      <c r="C197" s="3" t="s">
        <v>74</v>
      </c>
      <c r="D197" s="3" t="s">
        <v>44</v>
      </c>
      <c r="E197" s="3" t="s">
        <v>58</v>
      </c>
      <c r="F197" s="3" t="s">
        <v>84</v>
      </c>
      <c r="G197" s="3" t="s">
        <v>134</v>
      </c>
      <c r="H197" s="5">
        <v>4</v>
      </c>
      <c r="I197" s="6">
        <v>13.12</v>
      </c>
      <c r="J197" s="7">
        <v>0.15</v>
      </c>
      <c r="K197" s="6">
        <v>44.61</v>
      </c>
      <c r="L197" s="6">
        <v>24.14</v>
      </c>
      <c r="M197" s="6">
        <v>20.47</v>
      </c>
      <c r="N197" s="3" t="s">
        <v>88</v>
      </c>
    </row>
    <row r="198" spans="1:14">
      <c r="A198" s="3" t="s">
        <v>285</v>
      </c>
      <c r="B198" s="4">
        <v>45940</v>
      </c>
      <c r="C198" s="3" t="s">
        <v>67</v>
      </c>
      <c r="D198" s="3" t="s">
        <v>68</v>
      </c>
      <c r="E198" s="3" t="s">
        <v>58</v>
      </c>
      <c r="F198" s="3" t="s">
        <v>84</v>
      </c>
      <c r="G198" s="3" t="s">
        <v>85</v>
      </c>
      <c r="H198" s="5">
        <v>10</v>
      </c>
      <c r="I198" s="6">
        <v>6.61</v>
      </c>
      <c r="J198" s="7">
        <v>0</v>
      </c>
      <c r="K198" s="6">
        <v>66.099999999999994</v>
      </c>
      <c r="L198" s="6">
        <v>26.44</v>
      </c>
      <c r="M198" s="6">
        <v>39.659999999999997</v>
      </c>
      <c r="N198" s="3" t="s">
        <v>48</v>
      </c>
    </row>
    <row r="199" spans="1:14">
      <c r="A199" s="3" t="s">
        <v>286</v>
      </c>
      <c r="B199" s="4">
        <v>46168</v>
      </c>
      <c r="C199" s="3" t="s">
        <v>56</v>
      </c>
      <c r="D199" s="3" t="s">
        <v>57</v>
      </c>
      <c r="E199" s="3" t="s">
        <v>58</v>
      </c>
      <c r="F199" s="3" t="s">
        <v>69</v>
      </c>
      <c r="G199" s="3" t="s">
        <v>81</v>
      </c>
      <c r="H199" s="5">
        <v>6</v>
      </c>
      <c r="I199" s="6">
        <v>261.13</v>
      </c>
      <c r="J199" s="7">
        <v>0</v>
      </c>
      <c r="K199" s="6">
        <v>1566.78</v>
      </c>
      <c r="L199" s="6">
        <v>940.07</v>
      </c>
      <c r="M199" s="6">
        <v>626.71</v>
      </c>
      <c r="N199" s="3" t="s">
        <v>65</v>
      </c>
    </row>
    <row r="200" spans="1:14">
      <c r="A200" s="3" t="s">
        <v>287</v>
      </c>
      <c r="B200" s="4">
        <v>45800</v>
      </c>
      <c r="C200" s="3" t="s">
        <v>50</v>
      </c>
      <c r="D200" s="3" t="s">
        <v>51</v>
      </c>
      <c r="E200" s="3" t="s">
        <v>288</v>
      </c>
      <c r="F200" s="3" t="s">
        <v>84</v>
      </c>
      <c r="G200" s="3" t="s">
        <v>85</v>
      </c>
      <c r="H200" s="5">
        <v>7</v>
      </c>
      <c r="I200" s="6">
        <v>6.35</v>
      </c>
      <c r="J200" s="7">
        <v>0</v>
      </c>
      <c r="K200" s="6">
        <v>44.45</v>
      </c>
      <c r="L200" s="6">
        <v>17.78</v>
      </c>
      <c r="M200" s="6">
        <v>26.67</v>
      </c>
      <c r="N200" s="3" t="s">
        <v>77</v>
      </c>
    </row>
    <row r="201" spans="1:14">
      <c r="A201" s="3" t="s">
        <v>289</v>
      </c>
      <c r="B201" s="4">
        <v>46143</v>
      </c>
      <c r="C201" s="3" t="s">
        <v>74</v>
      </c>
      <c r="D201" s="3" t="s">
        <v>44</v>
      </c>
      <c r="E201" s="3" t="s">
        <v>72</v>
      </c>
      <c r="F201" s="3" t="s">
        <v>69</v>
      </c>
      <c r="G201" s="3" t="s">
        <v>79</v>
      </c>
      <c r="H201" s="5">
        <v>1</v>
      </c>
      <c r="I201" s="6">
        <v>138.49</v>
      </c>
      <c r="J201" s="7">
        <v>0.05</v>
      </c>
      <c r="K201" s="6">
        <v>131.57</v>
      </c>
      <c r="L201" s="6">
        <v>80.319999999999993</v>
      </c>
      <c r="M201" s="6">
        <v>51.25</v>
      </c>
      <c r="N201" s="3" t="s">
        <v>54</v>
      </c>
    </row>
    <row r="202" spans="1:14">
      <c r="A202" s="3" t="s">
        <v>290</v>
      </c>
      <c r="B202" s="4">
        <v>45827</v>
      </c>
      <c r="C202" s="3" t="s">
        <v>67</v>
      </c>
      <c r="D202" s="3" t="s">
        <v>68</v>
      </c>
      <c r="E202" s="3" t="s">
        <v>45</v>
      </c>
      <c r="F202" s="3" t="s">
        <v>52</v>
      </c>
      <c r="G202" s="3" t="s">
        <v>53</v>
      </c>
      <c r="H202" s="5">
        <v>9</v>
      </c>
      <c r="I202" s="6">
        <v>8.31</v>
      </c>
      <c r="J202" s="7">
        <v>0.15</v>
      </c>
      <c r="K202" s="6">
        <v>63.57</v>
      </c>
      <c r="L202" s="6">
        <v>32.159999999999997</v>
      </c>
      <c r="M202" s="6">
        <v>31.41</v>
      </c>
      <c r="N202" s="3" t="s">
        <v>54</v>
      </c>
    </row>
    <row r="203" spans="1:14">
      <c r="A203" s="3" t="s">
        <v>291</v>
      </c>
      <c r="B203" s="4">
        <v>46347</v>
      </c>
      <c r="C203" s="3" t="s">
        <v>56</v>
      </c>
      <c r="D203" s="3" t="s">
        <v>57</v>
      </c>
      <c r="E203" s="3" t="s">
        <v>72</v>
      </c>
      <c r="F203" s="3" t="s">
        <v>46</v>
      </c>
      <c r="G203" s="3" t="s">
        <v>75</v>
      </c>
      <c r="H203" s="5">
        <v>3</v>
      </c>
      <c r="I203" s="6">
        <v>17.739999999999998</v>
      </c>
      <c r="J203" s="7">
        <v>0.1</v>
      </c>
      <c r="K203" s="6">
        <v>47.9</v>
      </c>
      <c r="L203" s="6">
        <v>25.55</v>
      </c>
      <c r="M203" s="6">
        <v>22.35</v>
      </c>
      <c r="N203" s="3" t="s">
        <v>48</v>
      </c>
    </row>
    <row r="204" spans="1:14">
      <c r="A204" s="3" t="s">
        <v>292</v>
      </c>
      <c r="B204" s="4">
        <v>45978</v>
      </c>
      <c r="C204" s="3" t="s">
        <v>74</v>
      </c>
      <c r="D204" s="3" t="s">
        <v>44</v>
      </c>
      <c r="E204" s="3" t="s">
        <v>45</v>
      </c>
      <c r="F204" s="3" t="s">
        <v>84</v>
      </c>
      <c r="G204" s="3" t="s">
        <v>134</v>
      </c>
      <c r="H204" s="5">
        <v>5</v>
      </c>
      <c r="I204" s="6">
        <v>13.84</v>
      </c>
      <c r="J204" s="7">
        <v>0.1</v>
      </c>
      <c r="K204" s="6">
        <v>62.28</v>
      </c>
      <c r="L204" s="6">
        <v>31.83</v>
      </c>
      <c r="M204" s="6">
        <v>30.45</v>
      </c>
      <c r="N204" s="3" t="s">
        <v>63</v>
      </c>
    </row>
    <row r="205" spans="1:14">
      <c r="A205" s="3" t="s">
        <v>293</v>
      </c>
      <c r="B205" s="4">
        <v>46104</v>
      </c>
      <c r="C205" s="3" t="s">
        <v>74</v>
      </c>
      <c r="D205" s="3" t="s">
        <v>44</v>
      </c>
      <c r="E205" s="3" t="s">
        <v>90</v>
      </c>
      <c r="F205" s="3" t="s">
        <v>52</v>
      </c>
      <c r="G205" s="3" t="s">
        <v>53</v>
      </c>
      <c r="H205" s="5">
        <v>11</v>
      </c>
      <c r="I205" s="6">
        <v>11.6</v>
      </c>
      <c r="J205" s="7">
        <v>0</v>
      </c>
      <c r="K205" s="6">
        <v>127.6</v>
      </c>
      <c r="L205" s="6">
        <v>54.87</v>
      </c>
      <c r="M205" s="6">
        <v>72.73</v>
      </c>
      <c r="N205" s="3" t="s">
        <v>54</v>
      </c>
    </row>
    <row r="206" spans="1:14">
      <c r="A206" s="3" t="s">
        <v>294</v>
      </c>
      <c r="B206" s="4">
        <v>45818</v>
      </c>
      <c r="C206" s="3" t="s">
        <v>56</v>
      </c>
      <c r="D206" s="3" t="s">
        <v>57</v>
      </c>
      <c r="E206" s="3" t="s">
        <v>90</v>
      </c>
      <c r="F206" s="3" t="s">
        <v>52</v>
      </c>
      <c r="G206" s="3" t="s">
        <v>91</v>
      </c>
      <c r="H206" s="5">
        <v>11</v>
      </c>
      <c r="I206" s="6">
        <v>20.23</v>
      </c>
      <c r="J206" s="7">
        <v>0.1</v>
      </c>
      <c r="K206" s="6">
        <v>200.28</v>
      </c>
      <c r="L206" s="6">
        <v>109.04</v>
      </c>
      <c r="M206" s="6">
        <v>91.24</v>
      </c>
      <c r="N206" s="3" t="s">
        <v>54</v>
      </c>
    </row>
    <row r="207" spans="1:14">
      <c r="A207" s="3" t="s">
        <v>295</v>
      </c>
      <c r="B207" s="4">
        <v>46153</v>
      </c>
      <c r="C207" s="3" t="s">
        <v>251</v>
      </c>
      <c r="D207" s="3" t="s">
        <v>68</v>
      </c>
      <c r="E207" s="3" t="s">
        <v>58</v>
      </c>
      <c r="F207" s="3" t="s">
        <v>52</v>
      </c>
      <c r="G207" s="3" t="s">
        <v>59</v>
      </c>
      <c r="H207" s="5">
        <v>12</v>
      </c>
      <c r="I207" s="6">
        <v>10.09</v>
      </c>
      <c r="J207" s="7">
        <v>0.1</v>
      </c>
      <c r="K207" s="6">
        <v>108.97</v>
      </c>
      <c r="L207" s="6">
        <v>49.64</v>
      </c>
      <c r="M207" s="6">
        <v>59.33</v>
      </c>
      <c r="N207" s="3" t="s">
        <v>54</v>
      </c>
    </row>
    <row r="208" spans="1:14">
      <c r="A208" s="3" t="s">
        <v>296</v>
      </c>
      <c r="B208" s="4">
        <v>45671</v>
      </c>
      <c r="C208" s="3" t="s">
        <v>74</v>
      </c>
      <c r="D208" s="3" t="s">
        <v>44</v>
      </c>
      <c r="E208" s="3" t="s">
        <v>58</v>
      </c>
      <c r="F208" s="3" t="s">
        <v>52</v>
      </c>
      <c r="G208" s="3" t="s">
        <v>59</v>
      </c>
      <c r="H208" s="5">
        <v>2</v>
      </c>
      <c r="I208" s="6">
        <v>10.039999999999999</v>
      </c>
      <c r="J208" s="7">
        <v>0</v>
      </c>
      <c r="K208" s="6">
        <v>20.079999999999998</v>
      </c>
      <c r="L208" s="6">
        <v>8.23</v>
      </c>
      <c r="M208" s="6">
        <v>11.85</v>
      </c>
      <c r="N208" s="3" t="s">
        <v>65</v>
      </c>
    </row>
    <row r="209" spans="1:14">
      <c r="A209" s="3" t="s">
        <v>297</v>
      </c>
      <c r="B209" s="4">
        <v>46124</v>
      </c>
      <c r="C209" s="3" t="s">
        <v>56</v>
      </c>
      <c r="D209" s="3" t="s">
        <v>57</v>
      </c>
      <c r="E209" s="3" t="s">
        <v>58</v>
      </c>
      <c r="F209" s="3" t="s">
        <v>52</v>
      </c>
      <c r="G209" s="3" t="s">
        <v>91</v>
      </c>
      <c r="H209" s="5">
        <v>5</v>
      </c>
      <c r="I209" s="6">
        <v>21.64</v>
      </c>
      <c r="J209" s="7">
        <v>0</v>
      </c>
      <c r="K209" s="6">
        <v>108.2</v>
      </c>
      <c r="L209" s="6">
        <v>53.02</v>
      </c>
      <c r="M209" s="6">
        <v>55.18</v>
      </c>
      <c r="N209" s="3" t="s">
        <v>63</v>
      </c>
    </row>
    <row r="210" spans="1:14">
      <c r="A210" s="3" t="s">
        <v>298</v>
      </c>
      <c r="B210" s="4">
        <v>45811</v>
      </c>
      <c r="C210" s="3" t="s">
        <v>74</v>
      </c>
      <c r="D210" s="3" t="s">
        <v>44</v>
      </c>
      <c r="E210" s="3" t="s">
        <v>90</v>
      </c>
      <c r="F210" s="3" t="s">
        <v>52</v>
      </c>
      <c r="G210" s="3" t="s">
        <v>59</v>
      </c>
      <c r="H210" s="5">
        <v>6</v>
      </c>
      <c r="I210" s="6">
        <v>13.97</v>
      </c>
      <c r="J210" s="7">
        <v>0.15</v>
      </c>
      <c r="K210" s="6">
        <v>71.25</v>
      </c>
      <c r="L210" s="6">
        <v>34.369999999999997</v>
      </c>
      <c r="M210" s="6">
        <v>36.880000000000003</v>
      </c>
      <c r="N210" s="3" t="s">
        <v>63</v>
      </c>
    </row>
    <row r="211" spans="1:14">
      <c r="A211" s="3" t="s">
        <v>299</v>
      </c>
      <c r="B211" s="4">
        <v>46090</v>
      </c>
      <c r="C211" s="3" t="s">
        <v>61</v>
      </c>
      <c r="D211" s="3" t="s">
        <v>62</v>
      </c>
      <c r="E211" s="3" t="s">
        <v>90</v>
      </c>
      <c r="F211" s="3" t="s">
        <v>52</v>
      </c>
      <c r="G211" s="3" t="s">
        <v>91</v>
      </c>
      <c r="H211" s="5">
        <v>1</v>
      </c>
      <c r="I211" s="6">
        <v>21.13</v>
      </c>
      <c r="J211" s="7">
        <v>0.1</v>
      </c>
      <c r="K211" s="6">
        <v>19.02</v>
      </c>
      <c r="L211" s="6">
        <v>10.35</v>
      </c>
      <c r="M211" s="6">
        <v>8.67</v>
      </c>
      <c r="N211" s="3" t="s">
        <v>65</v>
      </c>
    </row>
    <row r="212" spans="1:14">
      <c r="A212" s="3" t="s">
        <v>300</v>
      </c>
      <c r="B212" s="4">
        <v>45766</v>
      </c>
      <c r="C212" s="3" t="s">
        <v>56</v>
      </c>
      <c r="D212" s="3" t="s">
        <v>57</v>
      </c>
      <c r="E212" s="3" t="s">
        <v>58</v>
      </c>
      <c r="F212" s="3" t="s">
        <v>84</v>
      </c>
      <c r="G212" s="3" t="s">
        <v>134</v>
      </c>
      <c r="H212" s="5">
        <v>9</v>
      </c>
      <c r="I212" s="6">
        <v>13.59</v>
      </c>
      <c r="J212" s="7">
        <v>0.05</v>
      </c>
      <c r="K212" s="6">
        <v>116.19</v>
      </c>
      <c r="L212" s="6">
        <v>56.26</v>
      </c>
      <c r="M212" s="6">
        <v>59.93</v>
      </c>
      <c r="N212" s="3" t="s">
        <v>88</v>
      </c>
    </row>
    <row r="213" spans="1:14">
      <c r="A213" s="3" t="s">
        <v>301</v>
      </c>
      <c r="B213" s="4">
        <v>46312</v>
      </c>
      <c r="C213" s="3" t="s">
        <v>56</v>
      </c>
      <c r="D213" s="3" t="s">
        <v>57</v>
      </c>
      <c r="E213" s="3" t="s">
        <v>58</v>
      </c>
      <c r="F213" s="3" t="s">
        <v>84</v>
      </c>
      <c r="G213" s="3" t="s">
        <v>85</v>
      </c>
      <c r="H213" s="5">
        <v>9</v>
      </c>
      <c r="I213" s="6">
        <v>8.57</v>
      </c>
      <c r="J213" s="7">
        <v>0.05</v>
      </c>
      <c r="K213" s="6">
        <v>73.27</v>
      </c>
      <c r="L213" s="6">
        <v>30.85</v>
      </c>
      <c r="M213" s="6">
        <v>42.42</v>
      </c>
      <c r="N213" s="3" t="s">
        <v>54</v>
      </c>
    </row>
    <row r="214" spans="1:14">
      <c r="A214" s="3" t="s">
        <v>302</v>
      </c>
      <c r="B214" s="4">
        <v>45794</v>
      </c>
      <c r="C214" s="3" t="s">
        <v>61</v>
      </c>
      <c r="D214" s="3" t="s">
        <v>62</v>
      </c>
      <c r="E214" s="3" t="s">
        <v>45</v>
      </c>
      <c r="F214" s="3" t="s">
        <v>84</v>
      </c>
      <c r="G214" s="3" t="s">
        <v>134</v>
      </c>
      <c r="H214" s="5">
        <v>9</v>
      </c>
      <c r="I214" s="6">
        <v>14.74</v>
      </c>
      <c r="J214" s="7">
        <v>0.05</v>
      </c>
      <c r="K214" s="6">
        <v>126.03</v>
      </c>
      <c r="L214" s="6">
        <v>61.02</v>
      </c>
      <c r="M214" s="6">
        <v>65.010000000000005</v>
      </c>
      <c r="N214" s="3" t="s">
        <v>88</v>
      </c>
    </row>
    <row r="215" spans="1:14">
      <c r="A215" s="3" t="s">
        <v>303</v>
      </c>
      <c r="B215" s="4">
        <v>46329</v>
      </c>
      <c r="C215" s="3" t="s">
        <v>56</v>
      </c>
      <c r="D215" s="3" t="s">
        <v>57</v>
      </c>
      <c r="E215" s="3" t="s">
        <v>58</v>
      </c>
      <c r="F215" s="3" t="s">
        <v>84</v>
      </c>
      <c r="G215" s="3" t="s">
        <v>85</v>
      </c>
      <c r="H215" s="5">
        <v>8</v>
      </c>
      <c r="I215" s="6">
        <v>9.73</v>
      </c>
      <c r="J215" s="7">
        <v>0.15</v>
      </c>
      <c r="K215" s="6">
        <v>66.16</v>
      </c>
      <c r="L215" s="6">
        <v>31.14</v>
      </c>
      <c r="M215" s="6">
        <v>35.020000000000003</v>
      </c>
      <c r="N215" s="3" t="s">
        <v>65</v>
      </c>
    </row>
    <row r="216" spans="1:14">
      <c r="A216" s="3" t="s">
        <v>304</v>
      </c>
      <c r="B216" s="4">
        <v>45998</v>
      </c>
      <c r="C216" s="3" t="s">
        <v>67</v>
      </c>
      <c r="D216" s="3" t="s">
        <v>68</v>
      </c>
      <c r="E216" s="3" t="s">
        <v>45</v>
      </c>
      <c r="F216" s="3" t="s">
        <v>46</v>
      </c>
      <c r="G216" s="3" t="s">
        <v>93</v>
      </c>
      <c r="H216" s="5">
        <v>1</v>
      </c>
      <c r="I216" s="6">
        <v>26.81</v>
      </c>
      <c r="J216" s="7">
        <v>0.15</v>
      </c>
      <c r="K216" s="6">
        <v>22.79</v>
      </c>
      <c r="L216" s="6">
        <v>14.75</v>
      </c>
      <c r="M216" s="6">
        <v>8.0399999999999991</v>
      </c>
      <c r="N216" s="3" t="s">
        <v>54</v>
      </c>
    </row>
    <row r="217" spans="1:14">
      <c r="A217" s="3" t="s">
        <v>305</v>
      </c>
      <c r="B217" s="4">
        <v>46151</v>
      </c>
      <c r="C217" s="3" t="s">
        <v>56</v>
      </c>
      <c r="D217" s="3" t="s">
        <v>57</v>
      </c>
      <c r="E217" s="3" t="s">
        <v>45</v>
      </c>
      <c r="F217" s="3" t="s">
        <v>84</v>
      </c>
      <c r="G217" s="3" t="s">
        <v>85</v>
      </c>
      <c r="H217" s="5">
        <v>11</v>
      </c>
      <c r="I217" s="6">
        <v>8.2799999999999994</v>
      </c>
      <c r="J217" s="7">
        <v>0.15</v>
      </c>
      <c r="K217" s="6">
        <v>77.42</v>
      </c>
      <c r="L217" s="6">
        <v>36.43</v>
      </c>
      <c r="M217" s="6">
        <v>40.99</v>
      </c>
      <c r="N217" s="3" t="s">
        <v>54</v>
      </c>
    </row>
    <row r="218" spans="1:14">
      <c r="A218" s="3" t="s">
        <v>306</v>
      </c>
      <c r="B218" s="4">
        <v>45905</v>
      </c>
      <c r="C218" s="3" t="s">
        <v>74</v>
      </c>
      <c r="D218" s="3" t="s">
        <v>44</v>
      </c>
      <c r="E218" s="3" t="s">
        <v>72</v>
      </c>
      <c r="F218" s="3" t="s">
        <v>84</v>
      </c>
      <c r="G218" s="3" t="s">
        <v>134</v>
      </c>
      <c r="H218" s="5">
        <v>5</v>
      </c>
      <c r="I218" s="6">
        <v>16.36</v>
      </c>
      <c r="J218" s="7">
        <v>0</v>
      </c>
      <c r="K218" s="6">
        <v>81.8</v>
      </c>
      <c r="L218" s="6">
        <v>37.630000000000003</v>
      </c>
      <c r="M218" s="6">
        <v>44.17</v>
      </c>
      <c r="N218" s="3" t="s">
        <v>63</v>
      </c>
    </row>
    <row r="219" spans="1:14">
      <c r="A219" s="3" t="s">
        <v>307</v>
      </c>
      <c r="B219" s="4">
        <v>46070</v>
      </c>
      <c r="C219" s="3" t="s">
        <v>50</v>
      </c>
      <c r="D219" s="3" t="s">
        <v>51</v>
      </c>
      <c r="E219" s="3" t="s">
        <v>72</v>
      </c>
      <c r="F219" s="3" t="s">
        <v>52</v>
      </c>
      <c r="G219" s="3" t="s">
        <v>91</v>
      </c>
      <c r="H219" s="5">
        <v>2</v>
      </c>
      <c r="I219" s="6">
        <v>18.87</v>
      </c>
      <c r="J219" s="7">
        <v>0</v>
      </c>
      <c r="K219" s="6">
        <v>37.74</v>
      </c>
      <c r="L219" s="6">
        <v>18.489999999999998</v>
      </c>
      <c r="M219" s="6">
        <v>19.25</v>
      </c>
      <c r="N219" s="3" t="s">
        <v>65</v>
      </c>
    </row>
    <row r="220" spans="1:14">
      <c r="A220" s="3" t="s">
        <v>308</v>
      </c>
      <c r="B220" s="4">
        <v>45893</v>
      </c>
      <c r="C220" s="3" t="s">
        <v>74</v>
      </c>
      <c r="D220" s="3" t="s">
        <v>44</v>
      </c>
      <c r="E220" s="3" t="s">
        <v>90</v>
      </c>
      <c r="F220" s="3" t="s">
        <v>46</v>
      </c>
      <c r="G220" s="3" t="s">
        <v>75</v>
      </c>
      <c r="H220" s="5">
        <v>7</v>
      </c>
      <c r="I220" s="6">
        <v>16.3</v>
      </c>
      <c r="J220" s="7">
        <v>0.15</v>
      </c>
      <c r="K220" s="6">
        <v>96.99</v>
      </c>
      <c r="L220" s="6">
        <v>54.77</v>
      </c>
      <c r="M220" s="6">
        <v>42.22</v>
      </c>
      <c r="N220" s="3" t="s">
        <v>77</v>
      </c>
    </row>
    <row r="221" spans="1:14">
      <c r="A221" s="3" t="s">
        <v>309</v>
      </c>
      <c r="B221" s="4">
        <v>46371</v>
      </c>
      <c r="C221" s="3" t="s">
        <v>67</v>
      </c>
      <c r="D221" s="3" t="s">
        <v>68</v>
      </c>
      <c r="E221" s="3" t="s">
        <v>90</v>
      </c>
      <c r="F221" s="3" t="s">
        <v>69</v>
      </c>
      <c r="G221" s="3" t="s">
        <v>70</v>
      </c>
      <c r="H221" s="5">
        <v>11</v>
      </c>
      <c r="I221" s="6">
        <v>93.48</v>
      </c>
      <c r="J221" s="7">
        <v>0.05</v>
      </c>
      <c r="K221" s="6">
        <v>976.87</v>
      </c>
      <c r="L221" s="6">
        <v>534.71</v>
      </c>
      <c r="M221" s="6">
        <v>442.16</v>
      </c>
      <c r="N221" s="3" t="s">
        <v>63</v>
      </c>
    </row>
    <row r="222" spans="1:14">
      <c r="A222" s="3" t="s">
        <v>310</v>
      </c>
      <c r="B222" s="4">
        <v>45988</v>
      </c>
      <c r="C222" s="3" t="s">
        <v>56</v>
      </c>
      <c r="D222" s="3" t="s">
        <v>57</v>
      </c>
      <c r="E222" s="3" t="s">
        <v>45</v>
      </c>
      <c r="F222" s="3" t="s">
        <v>84</v>
      </c>
      <c r="G222" s="3" t="s">
        <v>85</v>
      </c>
      <c r="H222" s="5">
        <v>8</v>
      </c>
      <c r="I222" s="6">
        <v>9.61</v>
      </c>
      <c r="J222" s="7">
        <v>0</v>
      </c>
      <c r="K222" s="6">
        <v>76.88</v>
      </c>
      <c r="L222" s="6">
        <v>30.75</v>
      </c>
      <c r="M222" s="6">
        <v>46.13</v>
      </c>
      <c r="N222" s="3" t="s">
        <v>77</v>
      </c>
    </row>
    <row r="223" spans="1:14">
      <c r="A223" s="3" t="s">
        <v>311</v>
      </c>
      <c r="B223" s="4">
        <v>46217</v>
      </c>
      <c r="C223" s="3" t="s">
        <v>56</v>
      </c>
      <c r="D223" s="3" t="s">
        <v>57</v>
      </c>
      <c r="E223" s="3" t="s">
        <v>90</v>
      </c>
      <c r="F223" s="3" t="s">
        <v>52</v>
      </c>
      <c r="G223" s="3" t="s">
        <v>59</v>
      </c>
      <c r="H223" s="5">
        <v>9</v>
      </c>
      <c r="I223" s="6">
        <v>13.47</v>
      </c>
      <c r="J223" s="7">
        <v>0</v>
      </c>
      <c r="K223" s="6">
        <v>121.23</v>
      </c>
      <c r="L223" s="6">
        <v>49.7</v>
      </c>
      <c r="M223" s="6">
        <v>71.53</v>
      </c>
      <c r="N223" s="3" t="s">
        <v>88</v>
      </c>
    </row>
    <row r="224" spans="1:14">
      <c r="A224" s="3" t="s">
        <v>312</v>
      </c>
      <c r="B224" s="4">
        <v>46015</v>
      </c>
      <c r="C224" s="3" t="s">
        <v>50</v>
      </c>
      <c r="D224" s="3" t="s">
        <v>51</v>
      </c>
      <c r="E224" s="3" t="s">
        <v>90</v>
      </c>
      <c r="F224" s="3" t="s">
        <v>69</v>
      </c>
      <c r="G224" s="3" t="s">
        <v>70</v>
      </c>
      <c r="H224" s="5">
        <v>3</v>
      </c>
      <c r="I224" s="6">
        <v>95.78</v>
      </c>
      <c r="J224" s="7">
        <v>0</v>
      </c>
      <c r="K224" s="6">
        <v>287.33999999999997</v>
      </c>
      <c r="L224" s="6">
        <v>149.41999999999999</v>
      </c>
      <c r="M224" s="6">
        <v>137.91999999999999</v>
      </c>
      <c r="N224" s="3" t="s">
        <v>88</v>
      </c>
    </row>
    <row r="225" spans="1:14">
      <c r="A225" s="3" t="s">
        <v>313</v>
      </c>
      <c r="B225" s="4">
        <v>46148</v>
      </c>
      <c r="C225" s="3" t="s">
        <v>67</v>
      </c>
      <c r="D225" s="3" t="s">
        <v>68</v>
      </c>
      <c r="E225" s="3" t="s">
        <v>45</v>
      </c>
      <c r="F225" s="3" t="s">
        <v>52</v>
      </c>
      <c r="G225" s="3" t="s">
        <v>53</v>
      </c>
      <c r="H225" s="5">
        <v>10</v>
      </c>
      <c r="I225" s="6">
        <v>9.48</v>
      </c>
      <c r="J225" s="7">
        <v>0.15</v>
      </c>
      <c r="K225" s="6">
        <v>80.58</v>
      </c>
      <c r="L225" s="6">
        <v>40.76</v>
      </c>
      <c r="M225" s="6">
        <v>39.82</v>
      </c>
      <c r="N225" s="3" t="s">
        <v>63</v>
      </c>
    </row>
    <row r="226" spans="1:14">
      <c r="A226" s="3" t="s">
        <v>314</v>
      </c>
      <c r="B226" s="4">
        <v>45780</v>
      </c>
      <c r="C226" s="3" t="s">
        <v>56</v>
      </c>
      <c r="D226" s="3" t="s">
        <v>57</v>
      </c>
      <c r="E226" s="3" t="s">
        <v>58</v>
      </c>
      <c r="F226" s="3" t="s">
        <v>69</v>
      </c>
      <c r="G226" s="3" t="s">
        <v>81</v>
      </c>
      <c r="H226" s="5">
        <v>4</v>
      </c>
      <c r="I226" s="6">
        <v>258.83999999999997</v>
      </c>
      <c r="J226" s="7">
        <v>0</v>
      </c>
      <c r="K226" s="6">
        <v>1035.3599999999999</v>
      </c>
      <c r="L226" s="6">
        <v>621.22</v>
      </c>
      <c r="M226" s="6">
        <v>414.14</v>
      </c>
      <c r="N226" s="3" t="s">
        <v>88</v>
      </c>
    </row>
    <row r="227" spans="1:14">
      <c r="A227" s="3" t="s">
        <v>315</v>
      </c>
      <c r="B227" s="4">
        <v>46059</v>
      </c>
      <c r="C227" s="3" t="s">
        <v>56</v>
      </c>
      <c r="D227" s="3" t="s">
        <v>57</v>
      </c>
      <c r="E227" s="3" t="s">
        <v>45</v>
      </c>
      <c r="F227" s="3" t="s">
        <v>46</v>
      </c>
      <c r="G227" s="3" t="s">
        <v>116</v>
      </c>
      <c r="H227" s="5">
        <v>1</v>
      </c>
      <c r="I227" s="6">
        <v>21.35</v>
      </c>
      <c r="J227" s="7">
        <v>0.15</v>
      </c>
      <c r="K227" s="6">
        <v>18.149999999999999</v>
      </c>
      <c r="L227" s="6">
        <v>10.68</v>
      </c>
      <c r="M227" s="6">
        <v>7.47</v>
      </c>
      <c r="N227" s="3" t="s">
        <v>77</v>
      </c>
    </row>
    <row r="228" spans="1:14">
      <c r="A228" s="3" t="s">
        <v>316</v>
      </c>
      <c r="B228" s="4">
        <v>45866</v>
      </c>
      <c r="C228" s="3" t="s">
        <v>67</v>
      </c>
      <c r="D228" s="3" t="s">
        <v>68</v>
      </c>
      <c r="E228" s="3" t="s">
        <v>58</v>
      </c>
      <c r="F228" s="3" t="s">
        <v>69</v>
      </c>
      <c r="G228" s="3" t="s">
        <v>79</v>
      </c>
      <c r="H228" s="5">
        <v>2</v>
      </c>
      <c r="I228" s="6">
        <v>138.57</v>
      </c>
      <c r="J228" s="7">
        <v>0.15</v>
      </c>
      <c r="K228" s="6">
        <v>235.57</v>
      </c>
      <c r="L228" s="6">
        <v>160.74</v>
      </c>
      <c r="M228" s="6">
        <v>74.83</v>
      </c>
      <c r="N228" s="3" t="s">
        <v>65</v>
      </c>
    </row>
    <row r="229" spans="1:14">
      <c r="A229" s="3" t="s">
        <v>317</v>
      </c>
      <c r="B229" s="4">
        <v>46279</v>
      </c>
      <c r="C229" s="3" t="s">
        <v>74</v>
      </c>
      <c r="D229" s="3" t="s">
        <v>44</v>
      </c>
      <c r="E229" s="3" t="s">
        <v>72</v>
      </c>
      <c r="F229" s="3" t="s">
        <v>46</v>
      </c>
      <c r="G229" s="3" t="s">
        <v>93</v>
      </c>
      <c r="H229" s="5">
        <v>3</v>
      </c>
      <c r="I229" s="6">
        <v>24.27</v>
      </c>
      <c r="J229" s="7">
        <v>0.05</v>
      </c>
      <c r="K229" s="6">
        <v>69.17</v>
      </c>
      <c r="L229" s="6">
        <v>40.049999999999997</v>
      </c>
      <c r="M229" s="6">
        <v>29.12</v>
      </c>
      <c r="N229" s="3" t="s">
        <v>77</v>
      </c>
    </row>
    <row r="230" spans="1:14">
      <c r="A230" s="3" t="s">
        <v>318</v>
      </c>
      <c r="B230" s="4">
        <v>45822</v>
      </c>
      <c r="C230" s="3" t="s">
        <v>67</v>
      </c>
      <c r="D230" s="3" t="s">
        <v>68</v>
      </c>
      <c r="E230" s="3" t="s">
        <v>45</v>
      </c>
      <c r="F230" s="3" t="s">
        <v>69</v>
      </c>
      <c r="G230" s="3" t="s">
        <v>70</v>
      </c>
      <c r="H230" s="5">
        <v>2</v>
      </c>
      <c r="I230" s="6">
        <v>95.88</v>
      </c>
      <c r="J230" s="7">
        <v>0</v>
      </c>
      <c r="K230" s="6">
        <v>191.76</v>
      </c>
      <c r="L230" s="6">
        <v>99.72</v>
      </c>
      <c r="M230" s="6">
        <v>92.04</v>
      </c>
      <c r="N230" s="3" t="s">
        <v>63</v>
      </c>
    </row>
    <row r="231" spans="1:14">
      <c r="A231" s="3" t="s">
        <v>319</v>
      </c>
      <c r="B231" s="4">
        <v>46328</v>
      </c>
      <c r="C231" s="3" t="s">
        <v>67</v>
      </c>
      <c r="D231" s="3" t="s">
        <v>68</v>
      </c>
      <c r="E231" s="3" t="s">
        <v>45</v>
      </c>
      <c r="F231" s="3" t="s">
        <v>84</v>
      </c>
      <c r="G231" s="3" t="s">
        <v>85</v>
      </c>
      <c r="H231" s="5">
        <v>2</v>
      </c>
      <c r="I231" s="6">
        <v>8.11</v>
      </c>
      <c r="J231" s="7">
        <v>0.1</v>
      </c>
      <c r="K231" s="6">
        <v>14.6</v>
      </c>
      <c r="L231" s="6">
        <v>6.49</v>
      </c>
      <c r="M231" s="6">
        <v>8.11</v>
      </c>
      <c r="N231" s="3" t="s">
        <v>48</v>
      </c>
    </row>
    <row r="232" spans="1:14">
      <c r="A232" s="3" t="s">
        <v>320</v>
      </c>
      <c r="B232" s="4">
        <v>45964</v>
      </c>
      <c r="C232" s="3" t="s">
        <v>50</v>
      </c>
      <c r="D232" s="3" t="s">
        <v>51</v>
      </c>
      <c r="E232" s="3" t="s">
        <v>90</v>
      </c>
      <c r="F232" s="3" t="s">
        <v>52</v>
      </c>
      <c r="G232" s="3" t="s">
        <v>59</v>
      </c>
      <c r="H232" s="5">
        <v>8</v>
      </c>
      <c r="I232" s="6">
        <v>11.81</v>
      </c>
      <c r="J232" s="7">
        <v>0</v>
      </c>
      <c r="K232" s="6">
        <v>94.48</v>
      </c>
      <c r="L232" s="6">
        <v>38.74</v>
      </c>
      <c r="M232" s="6">
        <v>55.74</v>
      </c>
      <c r="N232" s="3" t="s">
        <v>48</v>
      </c>
    </row>
    <row r="233" spans="1:14">
      <c r="A233" s="3" t="s">
        <v>321</v>
      </c>
      <c r="B233" s="4">
        <v>46296</v>
      </c>
      <c r="C233" s="3" t="s">
        <v>56</v>
      </c>
      <c r="D233" s="3" t="s">
        <v>57</v>
      </c>
      <c r="E233" s="3" t="s">
        <v>58</v>
      </c>
      <c r="F233" s="3" t="s">
        <v>69</v>
      </c>
      <c r="G233" s="3" t="s">
        <v>81</v>
      </c>
      <c r="H233" s="5">
        <v>9</v>
      </c>
      <c r="I233" s="6">
        <v>258.68</v>
      </c>
      <c r="J233" s="7">
        <v>0.05</v>
      </c>
      <c r="K233" s="6">
        <v>2211.71</v>
      </c>
      <c r="L233" s="6">
        <v>1396.87</v>
      </c>
      <c r="M233" s="6">
        <v>814.84</v>
      </c>
      <c r="N233" s="3" t="s">
        <v>65</v>
      </c>
    </row>
    <row r="234" spans="1:14">
      <c r="A234" s="3" t="s">
        <v>322</v>
      </c>
      <c r="B234" s="4">
        <v>45925</v>
      </c>
      <c r="C234" s="3" t="s">
        <v>56</v>
      </c>
      <c r="D234" s="3" t="s">
        <v>57</v>
      </c>
      <c r="E234" s="3" t="s">
        <v>45</v>
      </c>
      <c r="F234" s="3" t="s">
        <v>84</v>
      </c>
      <c r="G234" s="3" t="s">
        <v>134</v>
      </c>
      <c r="H234" s="5">
        <v>5</v>
      </c>
      <c r="I234" s="6">
        <v>13.1</v>
      </c>
      <c r="J234" s="7">
        <v>0.1</v>
      </c>
      <c r="K234" s="6">
        <v>58.95</v>
      </c>
      <c r="L234" s="6">
        <v>30.13</v>
      </c>
      <c r="M234" s="6">
        <v>28.82</v>
      </c>
      <c r="N234" s="3" t="s">
        <v>63</v>
      </c>
    </row>
    <row r="235" spans="1:14">
      <c r="A235" s="3" t="s">
        <v>323</v>
      </c>
      <c r="B235" s="4">
        <v>46337</v>
      </c>
      <c r="C235" s="3" t="s">
        <v>56</v>
      </c>
      <c r="D235" s="3" t="s">
        <v>57</v>
      </c>
      <c r="E235" s="3" t="s">
        <v>90</v>
      </c>
      <c r="F235" s="3" t="s">
        <v>84</v>
      </c>
      <c r="G235" s="3" t="s">
        <v>134</v>
      </c>
      <c r="H235" s="5">
        <v>8</v>
      </c>
      <c r="I235" s="6">
        <v>13.22</v>
      </c>
      <c r="J235" s="7">
        <v>0.1</v>
      </c>
      <c r="K235" s="6">
        <v>95.18</v>
      </c>
      <c r="L235" s="6">
        <v>48.65</v>
      </c>
      <c r="M235" s="6">
        <v>46.53</v>
      </c>
      <c r="N235" s="3" t="s">
        <v>88</v>
      </c>
    </row>
    <row r="236" spans="1:14">
      <c r="A236" s="3" t="s">
        <v>324</v>
      </c>
      <c r="B236" s="4">
        <v>45957</v>
      </c>
      <c r="C236" s="3" t="s">
        <v>67</v>
      </c>
      <c r="D236" s="3" t="s">
        <v>68</v>
      </c>
      <c r="E236" s="3" t="s">
        <v>90</v>
      </c>
      <c r="F236" s="3" t="s">
        <v>52</v>
      </c>
      <c r="G236" s="3" t="s">
        <v>91</v>
      </c>
      <c r="H236" s="5">
        <v>6</v>
      </c>
      <c r="I236" s="6">
        <v>20.12</v>
      </c>
      <c r="J236" s="7">
        <v>0.15</v>
      </c>
      <c r="K236" s="6">
        <v>102.61</v>
      </c>
      <c r="L236" s="6">
        <v>59.15</v>
      </c>
      <c r="M236" s="6">
        <v>43.46</v>
      </c>
      <c r="N236" s="3" t="s">
        <v>48</v>
      </c>
    </row>
    <row r="237" spans="1:14">
      <c r="A237" s="3" t="s">
        <v>325</v>
      </c>
      <c r="B237" s="4">
        <v>46300</v>
      </c>
      <c r="C237" s="3" t="s">
        <v>67</v>
      </c>
      <c r="D237" s="3" t="s">
        <v>68</v>
      </c>
      <c r="E237" s="3" t="s">
        <v>58</v>
      </c>
      <c r="F237" s="3" t="s">
        <v>46</v>
      </c>
      <c r="G237" s="3" t="s">
        <v>226</v>
      </c>
      <c r="H237" s="5">
        <v>3</v>
      </c>
      <c r="I237" s="6">
        <v>21.97</v>
      </c>
      <c r="J237" s="7">
        <v>0.05</v>
      </c>
      <c r="K237" s="6">
        <v>62.61</v>
      </c>
      <c r="L237" s="6">
        <v>32.96</v>
      </c>
      <c r="M237" s="6">
        <v>29.65</v>
      </c>
      <c r="N237" s="3" t="s">
        <v>63</v>
      </c>
    </row>
    <row r="238" spans="1:14">
      <c r="A238" s="3" t="s">
        <v>326</v>
      </c>
      <c r="B238" s="4">
        <v>45908</v>
      </c>
      <c r="C238" s="3" t="s">
        <v>50</v>
      </c>
      <c r="D238" s="3" t="s">
        <v>51</v>
      </c>
      <c r="E238" s="3" t="s">
        <v>58</v>
      </c>
      <c r="F238" s="3" t="s">
        <v>84</v>
      </c>
      <c r="G238" s="3" t="s">
        <v>96</v>
      </c>
      <c r="H238" s="5">
        <v>3</v>
      </c>
      <c r="I238" s="6">
        <v>13.51</v>
      </c>
      <c r="J238" s="7">
        <v>0.15</v>
      </c>
      <c r="K238" s="6">
        <v>34.450000000000003</v>
      </c>
      <c r="L238" s="6">
        <v>15.4</v>
      </c>
      <c r="M238" s="6">
        <v>19.05</v>
      </c>
      <c r="N238" s="3" t="s">
        <v>88</v>
      </c>
    </row>
    <row r="239" spans="1:14">
      <c r="A239" s="3" t="s">
        <v>327</v>
      </c>
      <c r="B239" s="4">
        <v>46208</v>
      </c>
      <c r="C239" s="3" t="s">
        <v>50</v>
      </c>
      <c r="D239" s="3" t="s">
        <v>51</v>
      </c>
      <c r="E239" s="3" t="s">
        <v>58</v>
      </c>
      <c r="F239" s="3" t="s">
        <v>69</v>
      </c>
      <c r="G239" s="3" t="s">
        <v>70</v>
      </c>
      <c r="H239" s="5">
        <v>2</v>
      </c>
      <c r="I239" s="6">
        <v>94.14</v>
      </c>
      <c r="J239" s="7">
        <v>0.15</v>
      </c>
      <c r="K239" s="6">
        <v>160.04</v>
      </c>
      <c r="L239" s="6">
        <v>97.91</v>
      </c>
      <c r="M239" s="6">
        <v>62.13</v>
      </c>
      <c r="N239" s="3" t="s">
        <v>63</v>
      </c>
    </row>
    <row r="240" spans="1:14">
      <c r="A240" s="3" t="s">
        <v>328</v>
      </c>
      <c r="B240" s="4">
        <v>45763</v>
      </c>
      <c r="C240" s="3" t="s">
        <v>56</v>
      </c>
      <c r="D240" s="3" t="s">
        <v>57</v>
      </c>
      <c r="E240" s="3" t="s">
        <v>72</v>
      </c>
      <c r="F240" s="3" t="s">
        <v>52</v>
      </c>
      <c r="G240" s="3" t="s">
        <v>91</v>
      </c>
      <c r="H240" s="5">
        <v>7</v>
      </c>
      <c r="I240" s="6">
        <v>20.47</v>
      </c>
      <c r="J240" s="7">
        <v>0.15</v>
      </c>
      <c r="K240" s="6">
        <v>121.8</v>
      </c>
      <c r="L240" s="6">
        <v>70.209999999999994</v>
      </c>
      <c r="M240" s="6">
        <v>51.59</v>
      </c>
      <c r="N240" s="3" t="s">
        <v>88</v>
      </c>
    </row>
    <row r="241" spans="1:14">
      <c r="A241" s="3" t="s">
        <v>329</v>
      </c>
      <c r="B241" s="4">
        <v>46055</v>
      </c>
      <c r="C241" s="3" t="s">
        <v>61</v>
      </c>
      <c r="D241" s="3" t="s">
        <v>62</v>
      </c>
      <c r="E241" s="3" t="s">
        <v>72</v>
      </c>
      <c r="F241" s="3" t="s">
        <v>52</v>
      </c>
      <c r="G241" s="3" t="s">
        <v>59</v>
      </c>
      <c r="H241" s="5">
        <v>7</v>
      </c>
      <c r="I241" s="6">
        <v>11.74</v>
      </c>
      <c r="J241" s="7">
        <v>0.1</v>
      </c>
      <c r="K241" s="6">
        <v>73.959999999999994</v>
      </c>
      <c r="L241" s="6">
        <v>33.69</v>
      </c>
      <c r="M241" s="6">
        <v>40.270000000000003</v>
      </c>
      <c r="N241" s="3" t="s">
        <v>48</v>
      </c>
    </row>
    <row r="242" spans="1:14">
      <c r="A242" s="3" t="s">
        <v>330</v>
      </c>
      <c r="B242" s="4">
        <v>45862</v>
      </c>
      <c r="C242" s="3" t="s">
        <v>61</v>
      </c>
      <c r="D242" s="3" t="s">
        <v>62</v>
      </c>
      <c r="E242" s="3" t="s">
        <v>58</v>
      </c>
      <c r="F242" s="3" t="s">
        <v>46</v>
      </c>
      <c r="G242" s="3" t="s">
        <v>116</v>
      </c>
      <c r="H242" s="5">
        <v>3</v>
      </c>
      <c r="I242" s="6">
        <v>23.8</v>
      </c>
      <c r="J242" s="7">
        <v>0</v>
      </c>
      <c r="K242" s="6">
        <v>71.400000000000006</v>
      </c>
      <c r="L242" s="6">
        <v>35.700000000000003</v>
      </c>
      <c r="M242" s="6">
        <v>35.700000000000003</v>
      </c>
      <c r="N242" s="3" t="s">
        <v>48</v>
      </c>
    </row>
    <row r="243" spans="1:14">
      <c r="A243" s="3" t="s">
        <v>331</v>
      </c>
      <c r="B243" s="4">
        <v>46038</v>
      </c>
      <c r="C243" s="3" t="s">
        <v>50</v>
      </c>
      <c r="D243" s="3" t="s">
        <v>51</v>
      </c>
      <c r="E243" s="3" t="s">
        <v>90</v>
      </c>
      <c r="F243" s="3" t="s">
        <v>69</v>
      </c>
      <c r="G243" s="3" t="s">
        <v>79</v>
      </c>
      <c r="H243" s="5">
        <v>3</v>
      </c>
      <c r="I243" s="6">
        <v>139.49</v>
      </c>
      <c r="J243" s="7">
        <v>0.1</v>
      </c>
      <c r="K243" s="6">
        <v>376.62</v>
      </c>
      <c r="L243" s="6">
        <v>242.71</v>
      </c>
      <c r="M243" s="6">
        <v>133.91</v>
      </c>
      <c r="N243" s="3" t="s">
        <v>48</v>
      </c>
    </row>
    <row r="244" spans="1:14">
      <c r="A244" s="3" t="s">
        <v>332</v>
      </c>
      <c r="B244" s="4">
        <v>45712</v>
      </c>
      <c r="C244" s="3" t="s">
        <v>50</v>
      </c>
      <c r="D244" s="3" t="s">
        <v>51</v>
      </c>
      <c r="E244" s="3" t="s">
        <v>58</v>
      </c>
      <c r="F244" s="3" t="s">
        <v>69</v>
      </c>
      <c r="G244" s="3" t="s">
        <v>70</v>
      </c>
      <c r="H244" s="5">
        <v>8</v>
      </c>
      <c r="I244" s="6">
        <v>95.07</v>
      </c>
      <c r="J244" s="7">
        <v>0.15</v>
      </c>
      <c r="K244" s="6">
        <v>646.48</v>
      </c>
      <c r="L244" s="6">
        <v>395.49</v>
      </c>
      <c r="M244" s="6">
        <v>250.99</v>
      </c>
      <c r="N244" s="3" t="s">
        <v>65</v>
      </c>
    </row>
    <row r="245" spans="1:14">
      <c r="A245" s="3" t="s">
        <v>333</v>
      </c>
      <c r="B245" s="4">
        <v>46260</v>
      </c>
      <c r="C245" s="3" t="s">
        <v>67</v>
      </c>
      <c r="D245" s="3" t="s">
        <v>68</v>
      </c>
      <c r="E245" s="3" t="s">
        <v>45</v>
      </c>
      <c r="F245" s="3" t="s">
        <v>46</v>
      </c>
      <c r="G245" s="3" t="s">
        <v>93</v>
      </c>
      <c r="H245" s="5">
        <v>11</v>
      </c>
      <c r="I245" s="6">
        <v>26.27</v>
      </c>
      <c r="J245" s="7">
        <v>0</v>
      </c>
      <c r="K245" s="6">
        <v>288.97000000000003</v>
      </c>
      <c r="L245" s="6">
        <v>158.93</v>
      </c>
      <c r="M245" s="6">
        <v>130.04</v>
      </c>
      <c r="N245" s="3" t="s">
        <v>65</v>
      </c>
    </row>
    <row r="246" spans="1:14">
      <c r="A246" s="3" t="s">
        <v>334</v>
      </c>
      <c r="B246" s="4">
        <v>45674</v>
      </c>
      <c r="C246" s="3" t="s">
        <v>335</v>
      </c>
      <c r="D246" s="3" t="s">
        <v>57</v>
      </c>
      <c r="E246" s="3" t="s">
        <v>72</v>
      </c>
      <c r="F246" s="3" t="s">
        <v>52</v>
      </c>
      <c r="G246" s="3" t="s">
        <v>53</v>
      </c>
      <c r="H246" s="5">
        <v>6</v>
      </c>
      <c r="I246" s="6">
        <v>10.37</v>
      </c>
      <c r="J246" s="7">
        <v>0.05</v>
      </c>
      <c r="K246" s="6">
        <v>59.11</v>
      </c>
      <c r="L246" s="6">
        <v>26.75</v>
      </c>
      <c r="M246" s="6">
        <v>32.36</v>
      </c>
      <c r="N246" s="3" t="s">
        <v>63</v>
      </c>
    </row>
    <row r="247" spans="1:14">
      <c r="A247" s="3" t="s">
        <v>336</v>
      </c>
      <c r="B247" s="4">
        <v>46065</v>
      </c>
      <c r="C247" s="3" t="s">
        <v>67</v>
      </c>
      <c r="D247" s="3" t="s">
        <v>68</v>
      </c>
      <c r="E247" s="3" t="s">
        <v>90</v>
      </c>
      <c r="F247" s="3" t="s">
        <v>52</v>
      </c>
      <c r="G247" s="3" t="s">
        <v>53</v>
      </c>
      <c r="H247" s="5">
        <v>4</v>
      </c>
      <c r="I247" s="6">
        <v>9.8699999999999992</v>
      </c>
      <c r="J247" s="7">
        <v>0.05</v>
      </c>
      <c r="K247" s="6">
        <v>37.51</v>
      </c>
      <c r="L247" s="6">
        <v>16.98</v>
      </c>
      <c r="M247" s="6">
        <v>20.53</v>
      </c>
      <c r="N247" s="3" t="s">
        <v>77</v>
      </c>
    </row>
    <row r="248" spans="1:14">
      <c r="A248" s="3" t="s">
        <v>337</v>
      </c>
      <c r="B248" s="4">
        <v>45889</v>
      </c>
      <c r="C248" s="3" t="s">
        <v>165</v>
      </c>
      <c r="D248" s="3" t="s">
        <v>57</v>
      </c>
      <c r="E248" s="3" t="s">
        <v>45</v>
      </c>
      <c r="F248" s="3" t="s">
        <v>84</v>
      </c>
      <c r="G248" s="3" t="s">
        <v>134</v>
      </c>
      <c r="H248" s="5">
        <v>7</v>
      </c>
      <c r="I248" s="6">
        <v>14.69</v>
      </c>
      <c r="J248" s="7">
        <v>0.1</v>
      </c>
      <c r="K248" s="6">
        <v>92.55</v>
      </c>
      <c r="L248" s="6">
        <v>47.3</v>
      </c>
      <c r="M248" s="6">
        <v>45.25</v>
      </c>
      <c r="N248" s="3" t="s">
        <v>77</v>
      </c>
    </row>
    <row r="249" spans="1:14">
      <c r="A249" s="3" t="s">
        <v>338</v>
      </c>
      <c r="B249" s="4">
        <v>46368</v>
      </c>
      <c r="C249" s="3" t="s">
        <v>56</v>
      </c>
      <c r="D249" s="3" t="s">
        <v>57</v>
      </c>
      <c r="E249" s="3" t="s">
        <v>90</v>
      </c>
      <c r="F249" s="3" t="s">
        <v>46</v>
      </c>
      <c r="G249" s="3" t="s">
        <v>93</v>
      </c>
      <c r="H249" s="5">
        <v>10</v>
      </c>
      <c r="I249" s="6">
        <v>24.59</v>
      </c>
      <c r="J249" s="7">
        <v>0</v>
      </c>
      <c r="K249" s="6">
        <v>245.9</v>
      </c>
      <c r="L249" s="6">
        <v>135.25</v>
      </c>
      <c r="M249" s="6">
        <v>110.65</v>
      </c>
      <c r="N249" s="3" t="s">
        <v>88</v>
      </c>
    </row>
    <row r="250" spans="1:14">
      <c r="A250" s="3" t="s">
        <v>339</v>
      </c>
      <c r="B250" s="4">
        <v>45722</v>
      </c>
      <c r="C250" s="3" t="s">
        <v>61</v>
      </c>
      <c r="D250" s="3" t="s">
        <v>62</v>
      </c>
      <c r="E250" s="3" t="s">
        <v>45</v>
      </c>
      <c r="F250" s="3" t="s">
        <v>46</v>
      </c>
      <c r="G250" s="3" t="s">
        <v>116</v>
      </c>
      <c r="H250" s="5">
        <v>8</v>
      </c>
      <c r="I250" s="6">
        <v>20.98</v>
      </c>
      <c r="J250" s="7">
        <v>0.15</v>
      </c>
      <c r="K250" s="6">
        <v>142.66</v>
      </c>
      <c r="L250" s="6">
        <v>83.92</v>
      </c>
      <c r="M250" s="6">
        <v>58.74</v>
      </c>
      <c r="N250" s="3" t="s">
        <v>63</v>
      </c>
    </row>
    <row r="251" spans="1:14">
      <c r="A251" s="3" t="s">
        <v>340</v>
      </c>
      <c r="B251" s="4">
        <v>46062</v>
      </c>
      <c r="C251" s="3" t="s">
        <v>67</v>
      </c>
      <c r="D251" s="3" t="s">
        <v>68</v>
      </c>
      <c r="E251" s="3" t="s">
        <v>58</v>
      </c>
      <c r="F251" s="3" t="s">
        <v>52</v>
      </c>
      <c r="G251" s="3" t="s">
        <v>53</v>
      </c>
      <c r="H251" s="5">
        <v>2</v>
      </c>
      <c r="I251" s="6">
        <v>11.09</v>
      </c>
      <c r="J251" s="7">
        <v>0.15</v>
      </c>
      <c r="K251" s="6">
        <v>18.850000000000001</v>
      </c>
      <c r="L251" s="6">
        <v>9.5399999999999991</v>
      </c>
      <c r="M251" s="6">
        <v>9.31</v>
      </c>
      <c r="N251" s="3" t="s">
        <v>54</v>
      </c>
    </row>
    <row r="252" spans="1:14">
      <c r="A252" s="3" t="s">
        <v>341</v>
      </c>
      <c r="B252" s="4">
        <v>45669</v>
      </c>
      <c r="C252" s="3" t="s">
        <v>61</v>
      </c>
      <c r="D252" s="3" t="s">
        <v>62</v>
      </c>
      <c r="E252" s="3" t="s">
        <v>45</v>
      </c>
      <c r="F252" s="3" t="s">
        <v>84</v>
      </c>
      <c r="G252" s="3" t="s">
        <v>96</v>
      </c>
      <c r="H252" s="5">
        <v>3</v>
      </c>
      <c r="I252" s="6">
        <v>10.85</v>
      </c>
      <c r="J252" s="7">
        <v>0.05</v>
      </c>
      <c r="K252" s="6">
        <v>30.92</v>
      </c>
      <c r="L252" s="6">
        <v>12.37</v>
      </c>
      <c r="M252" s="6">
        <v>18.55</v>
      </c>
      <c r="N252" s="3" t="s">
        <v>48</v>
      </c>
    </row>
    <row r="253" spans="1:14">
      <c r="A253" s="3" t="s">
        <v>342</v>
      </c>
      <c r="B253" s="4">
        <v>46163</v>
      </c>
      <c r="C253" s="3" t="s">
        <v>50</v>
      </c>
      <c r="D253" s="3" t="s">
        <v>51</v>
      </c>
      <c r="E253" s="3" t="s">
        <v>58</v>
      </c>
      <c r="F253" s="3" t="s">
        <v>52</v>
      </c>
      <c r="G253" s="3" t="s">
        <v>91</v>
      </c>
      <c r="H253" s="5">
        <v>3</v>
      </c>
      <c r="I253" s="6">
        <v>21.3</v>
      </c>
      <c r="J253" s="7">
        <v>0.05</v>
      </c>
      <c r="K253" s="6">
        <v>60.71</v>
      </c>
      <c r="L253" s="6">
        <v>31.31</v>
      </c>
      <c r="M253" s="6">
        <v>29.4</v>
      </c>
      <c r="N253" s="3" t="s">
        <v>65</v>
      </c>
    </row>
    <row r="254" spans="1:14">
      <c r="A254" s="3" t="s">
        <v>343</v>
      </c>
      <c r="B254" s="4">
        <v>45827</v>
      </c>
      <c r="C254" s="3" t="s">
        <v>67</v>
      </c>
      <c r="D254" s="3" t="s">
        <v>68</v>
      </c>
      <c r="E254" s="3" t="s">
        <v>72</v>
      </c>
      <c r="F254" s="3" t="s">
        <v>69</v>
      </c>
      <c r="G254" s="3" t="s">
        <v>81</v>
      </c>
      <c r="H254" s="5">
        <v>4</v>
      </c>
      <c r="I254" s="6">
        <v>258.38</v>
      </c>
      <c r="J254" s="7">
        <v>0</v>
      </c>
      <c r="K254" s="6">
        <v>1033.52</v>
      </c>
      <c r="L254" s="6">
        <v>620.11</v>
      </c>
      <c r="M254" s="6">
        <v>413.41</v>
      </c>
      <c r="N254" s="3" t="s">
        <v>65</v>
      </c>
    </row>
    <row r="255" spans="1:14">
      <c r="A255" s="3" t="s">
        <v>344</v>
      </c>
      <c r="B255" s="4">
        <v>46317</v>
      </c>
      <c r="C255" s="3" t="s">
        <v>56</v>
      </c>
      <c r="D255" s="3" t="s">
        <v>57</v>
      </c>
      <c r="E255" s="3" t="s">
        <v>45</v>
      </c>
      <c r="F255" s="3" t="s">
        <v>69</v>
      </c>
      <c r="G255" s="3" t="s">
        <v>81</v>
      </c>
      <c r="H255" s="5">
        <v>5</v>
      </c>
      <c r="I255" s="6">
        <v>260.52</v>
      </c>
      <c r="J255" s="7">
        <v>0.15</v>
      </c>
      <c r="K255" s="6">
        <v>1107.21</v>
      </c>
      <c r="L255" s="6">
        <v>781.56</v>
      </c>
      <c r="M255" s="6">
        <v>325.64999999999998</v>
      </c>
      <c r="N255" s="3" t="s">
        <v>63</v>
      </c>
    </row>
    <row r="256" spans="1:14">
      <c r="A256" s="3" t="s">
        <v>345</v>
      </c>
      <c r="B256" s="4">
        <v>45734</v>
      </c>
      <c r="C256" s="3" t="s">
        <v>74</v>
      </c>
      <c r="D256" s="3" t="s">
        <v>44</v>
      </c>
      <c r="E256" s="3" t="s">
        <v>45</v>
      </c>
      <c r="F256" s="3" t="s">
        <v>52</v>
      </c>
      <c r="G256" s="3" t="s">
        <v>91</v>
      </c>
      <c r="H256" s="5">
        <v>11</v>
      </c>
      <c r="I256" s="6">
        <v>21.85</v>
      </c>
      <c r="J256" s="7">
        <v>0.1</v>
      </c>
      <c r="K256" s="6">
        <v>216.32</v>
      </c>
      <c r="L256" s="6">
        <v>117.77</v>
      </c>
      <c r="M256" s="6">
        <v>98.55</v>
      </c>
      <c r="N256" s="3" t="s">
        <v>65</v>
      </c>
    </row>
    <row r="257" spans="1:14">
      <c r="A257" s="3" t="s">
        <v>346</v>
      </c>
      <c r="B257" s="4">
        <v>46198</v>
      </c>
      <c r="C257" s="3" t="s">
        <v>61</v>
      </c>
      <c r="D257" s="3" t="s">
        <v>62</v>
      </c>
      <c r="E257" s="3" t="s">
        <v>90</v>
      </c>
      <c r="F257" s="3" t="s">
        <v>52</v>
      </c>
      <c r="G257" s="3" t="s">
        <v>91</v>
      </c>
      <c r="H257" s="5">
        <v>5</v>
      </c>
      <c r="I257" s="6">
        <v>20.38</v>
      </c>
      <c r="J257" s="7">
        <v>0.15</v>
      </c>
      <c r="K257" s="6">
        <v>86.62</v>
      </c>
      <c r="L257" s="6">
        <v>49.93</v>
      </c>
      <c r="M257" s="6">
        <v>36.69</v>
      </c>
      <c r="N257" s="3" t="s">
        <v>77</v>
      </c>
    </row>
    <row r="258" spans="1:14">
      <c r="A258" s="3" t="s">
        <v>347</v>
      </c>
      <c r="B258" s="4">
        <v>45848</v>
      </c>
      <c r="C258" s="3" t="s">
        <v>50</v>
      </c>
      <c r="D258" s="3" t="s">
        <v>51</v>
      </c>
      <c r="E258" s="3" t="s">
        <v>58</v>
      </c>
      <c r="F258" s="3" t="s">
        <v>52</v>
      </c>
      <c r="G258" s="3" t="s">
        <v>53</v>
      </c>
      <c r="H258" s="5">
        <v>6</v>
      </c>
      <c r="I258" s="6">
        <v>10.38</v>
      </c>
      <c r="J258" s="7">
        <v>0.1</v>
      </c>
      <c r="K258" s="6">
        <v>56.05</v>
      </c>
      <c r="L258" s="6">
        <v>26.78</v>
      </c>
      <c r="M258" s="6">
        <v>29.27</v>
      </c>
      <c r="N258" s="3" t="s">
        <v>63</v>
      </c>
    </row>
    <row r="259" spans="1:14">
      <c r="A259" s="3" t="s">
        <v>348</v>
      </c>
      <c r="B259" s="4">
        <v>46309</v>
      </c>
      <c r="C259" s="3" t="s">
        <v>74</v>
      </c>
      <c r="D259" s="3" t="s">
        <v>44</v>
      </c>
      <c r="E259" s="3" t="s">
        <v>58</v>
      </c>
      <c r="F259" s="3" t="s">
        <v>52</v>
      </c>
      <c r="G259" s="3" t="s">
        <v>91</v>
      </c>
      <c r="H259" s="5">
        <v>7</v>
      </c>
      <c r="I259" s="6">
        <v>18.03</v>
      </c>
      <c r="J259" s="7">
        <v>0.15</v>
      </c>
      <c r="K259" s="6">
        <v>107.28</v>
      </c>
      <c r="L259" s="6">
        <v>61.84</v>
      </c>
      <c r="M259" s="6">
        <v>45.44</v>
      </c>
      <c r="N259" s="3" t="s">
        <v>48</v>
      </c>
    </row>
    <row r="260" spans="1:14">
      <c r="A260" s="3" t="s">
        <v>349</v>
      </c>
      <c r="B260" s="4">
        <v>45979</v>
      </c>
      <c r="C260" s="3" t="s">
        <v>74</v>
      </c>
      <c r="D260" s="3" t="s">
        <v>44</v>
      </c>
      <c r="E260" s="3" t="s">
        <v>45</v>
      </c>
      <c r="F260" s="3" t="s">
        <v>52</v>
      </c>
      <c r="G260" s="3" t="s">
        <v>91</v>
      </c>
      <c r="H260" s="5">
        <v>9</v>
      </c>
      <c r="I260" s="6">
        <v>18.84</v>
      </c>
      <c r="J260" s="7">
        <v>0.15</v>
      </c>
      <c r="K260" s="6">
        <v>144.13</v>
      </c>
      <c r="L260" s="6">
        <v>83.08</v>
      </c>
      <c r="M260" s="6">
        <v>61.05</v>
      </c>
      <c r="N260" s="3" t="s">
        <v>88</v>
      </c>
    </row>
    <row r="261" spans="1:14">
      <c r="A261" s="3" t="s">
        <v>350</v>
      </c>
      <c r="B261" s="4">
        <v>46103</v>
      </c>
      <c r="C261" s="3" t="s">
        <v>56</v>
      </c>
      <c r="D261" s="3" t="s">
        <v>57</v>
      </c>
      <c r="E261" s="3" t="s">
        <v>90</v>
      </c>
      <c r="F261" s="3" t="s">
        <v>84</v>
      </c>
      <c r="G261" s="3" t="s">
        <v>85</v>
      </c>
      <c r="H261" s="5">
        <v>8</v>
      </c>
      <c r="I261" s="6">
        <v>6.72</v>
      </c>
      <c r="J261" s="7">
        <v>0.15</v>
      </c>
      <c r="K261" s="6">
        <v>45.7</v>
      </c>
      <c r="L261" s="6">
        <v>21.5</v>
      </c>
      <c r="M261" s="6">
        <v>24.2</v>
      </c>
      <c r="N261" s="3" t="s">
        <v>88</v>
      </c>
    </row>
    <row r="262" spans="1:14">
      <c r="A262" s="3" t="s">
        <v>351</v>
      </c>
      <c r="B262" s="4">
        <v>45989</v>
      </c>
      <c r="C262" s="3" t="s">
        <v>61</v>
      </c>
      <c r="D262" s="3" t="s">
        <v>62</v>
      </c>
      <c r="E262" s="3" t="s">
        <v>58</v>
      </c>
      <c r="F262" s="3" t="s">
        <v>46</v>
      </c>
      <c r="G262" s="3" t="s">
        <v>75</v>
      </c>
      <c r="H262" s="5">
        <v>2</v>
      </c>
      <c r="I262" s="6">
        <v>18.78</v>
      </c>
      <c r="J262" s="7">
        <v>0.05</v>
      </c>
      <c r="K262" s="6">
        <v>35.68</v>
      </c>
      <c r="L262" s="6">
        <v>18.03</v>
      </c>
      <c r="M262" s="6">
        <v>17.649999999999999</v>
      </c>
      <c r="N262" s="3" t="s">
        <v>48</v>
      </c>
    </row>
    <row r="263" spans="1:14">
      <c r="A263" s="3" t="s">
        <v>352</v>
      </c>
      <c r="B263" s="4">
        <v>46150</v>
      </c>
      <c r="C263" s="3" t="s">
        <v>67</v>
      </c>
      <c r="D263" s="3" t="s">
        <v>68</v>
      </c>
      <c r="E263" s="3" t="s">
        <v>45</v>
      </c>
      <c r="F263" s="3" t="s">
        <v>46</v>
      </c>
      <c r="G263" s="3" t="s">
        <v>75</v>
      </c>
      <c r="H263" s="5">
        <v>2</v>
      </c>
      <c r="I263" s="6">
        <v>18.36</v>
      </c>
      <c r="J263" s="7">
        <v>0.1</v>
      </c>
      <c r="K263" s="6">
        <v>33.049999999999997</v>
      </c>
      <c r="L263" s="6">
        <v>17.63</v>
      </c>
      <c r="M263" s="6">
        <v>15.42</v>
      </c>
      <c r="N263" s="3" t="s">
        <v>77</v>
      </c>
    </row>
    <row r="264" spans="1:14">
      <c r="A264" s="3" t="s">
        <v>353</v>
      </c>
      <c r="B264" s="4">
        <v>45996</v>
      </c>
      <c r="C264" s="3" t="s">
        <v>50</v>
      </c>
      <c r="D264" s="3" t="s">
        <v>51</v>
      </c>
      <c r="E264" s="3" t="s">
        <v>45</v>
      </c>
      <c r="F264" s="3" t="s">
        <v>69</v>
      </c>
      <c r="G264" s="3" t="s">
        <v>81</v>
      </c>
      <c r="H264" s="5">
        <v>1</v>
      </c>
      <c r="I264" s="6">
        <v>261.54000000000002</v>
      </c>
      <c r="J264" s="7">
        <v>0.1</v>
      </c>
      <c r="K264" s="6">
        <v>235.39</v>
      </c>
      <c r="L264" s="6">
        <v>156.91999999999999</v>
      </c>
      <c r="M264" s="6">
        <v>78.47</v>
      </c>
      <c r="N264" s="3" t="s">
        <v>48</v>
      </c>
    </row>
    <row r="265" spans="1:14">
      <c r="A265" s="3" t="s">
        <v>354</v>
      </c>
      <c r="B265" s="4">
        <v>46348</v>
      </c>
      <c r="C265" s="3" t="s">
        <v>56</v>
      </c>
      <c r="D265" s="3" t="s">
        <v>57</v>
      </c>
      <c r="E265" s="3" t="s">
        <v>58</v>
      </c>
      <c r="F265" s="3" t="s">
        <v>69</v>
      </c>
      <c r="G265" s="3" t="s">
        <v>79</v>
      </c>
      <c r="H265" s="5">
        <v>3</v>
      </c>
      <c r="I265" s="6">
        <v>139.07</v>
      </c>
      <c r="J265" s="7">
        <v>0.05</v>
      </c>
      <c r="K265" s="6">
        <v>396.35</v>
      </c>
      <c r="L265" s="6">
        <v>241.98</v>
      </c>
      <c r="M265" s="6">
        <v>154.37</v>
      </c>
      <c r="N265" s="3" t="s">
        <v>54</v>
      </c>
    </row>
    <row r="266" spans="1:14">
      <c r="A266" s="3" t="s">
        <v>355</v>
      </c>
      <c r="B266" s="4">
        <v>45784</v>
      </c>
      <c r="C266" s="3" t="s">
        <v>56</v>
      </c>
      <c r="D266" s="3" t="s">
        <v>57</v>
      </c>
      <c r="E266" s="3" t="s">
        <v>45</v>
      </c>
      <c r="F266" s="3" t="s">
        <v>84</v>
      </c>
      <c r="G266" s="3" t="s">
        <v>85</v>
      </c>
      <c r="H266" s="5">
        <v>11</v>
      </c>
      <c r="I266" s="6">
        <v>7.98</v>
      </c>
      <c r="J266" s="7">
        <v>0.1</v>
      </c>
      <c r="K266" s="6">
        <v>79</v>
      </c>
      <c r="L266" s="6">
        <v>35.11</v>
      </c>
      <c r="M266" s="6">
        <v>43.89</v>
      </c>
      <c r="N266" s="3" t="s">
        <v>54</v>
      </c>
    </row>
    <row r="267" spans="1:14">
      <c r="A267" s="3" t="s">
        <v>356</v>
      </c>
      <c r="B267" s="4">
        <v>46150</v>
      </c>
      <c r="C267" s="3" t="s">
        <v>67</v>
      </c>
      <c r="D267" s="3" t="s">
        <v>68</v>
      </c>
      <c r="E267" s="3" t="s">
        <v>72</v>
      </c>
      <c r="F267" s="3" t="s">
        <v>84</v>
      </c>
      <c r="G267" s="3" t="s">
        <v>85</v>
      </c>
      <c r="H267" s="5">
        <v>3</v>
      </c>
      <c r="I267" s="6">
        <v>9.2799999999999994</v>
      </c>
      <c r="J267" s="7">
        <v>0.05</v>
      </c>
      <c r="K267" s="6">
        <v>26.45</v>
      </c>
      <c r="L267" s="6">
        <v>11.14</v>
      </c>
      <c r="M267" s="6">
        <v>15.31</v>
      </c>
      <c r="N267" s="3" t="s">
        <v>65</v>
      </c>
    </row>
    <row r="268" spans="1:14">
      <c r="A268" s="3" t="s">
        <v>357</v>
      </c>
      <c r="B268" s="4">
        <v>45973</v>
      </c>
      <c r="C268" s="3" t="s">
        <v>74</v>
      </c>
      <c r="D268" s="3" t="s">
        <v>44</v>
      </c>
      <c r="E268" s="3" t="s">
        <v>58</v>
      </c>
      <c r="F268" s="3" t="s">
        <v>69</v>
      </c>
      <c r="G268" s="3" t="s">
        <v>81</v>
      </c>
      <c r="H268" s="5">
        <v>5</v>
      </c>
      <c r="I268" s="6">
        <v>258.42</v>
      </c>
      <c r="J268" s="7">
        <v>0.15</v>
      </c>
      <c r="K268" s="6">
        <v>1098.29</v>
      </c>
      <c r="L268" s="6">
        <v>775.26</v>
      </c>
      <c r="M268" s="6">
        <v>323.02999999999997</v>
      </c>
      <c r="N268" s="3" t="s">
        <v>54</v>
      </c>
    </row>
    <row r="269" spans="1:14">
      <c r="A269" s="3" t="s">
        <v>358</v>
      </c>
      <c r="B269" s="4" t="s">
        <v>359</v>
      </c>
      <c r="C269" s="3" t="s">
        <v>56</v>
      </c>
      <c r="D269" s="3" t="s">
        <v>57</v>
      </c>
      <c r="E269" s="3" t="s">
        <v>58</v>
      </c>
      <c r="F269" s="3" t="s">
        <v>52</v>
      </c>
      <c r="G269" s="3" t="s">
        <v>59</v>
      </c>
      <c r="H269" s="5">
        <v>10</v>
      </c>
      <c r="I269" s="6">
        <v>10.199999999999999</v>
      </c>
      <c r="J269" s="7">
        <v>0.15</v>
      </c>
      <c r="K269" s="6">
        <v>86.7</v>
      </c>
      <c r="L269" s="6">
        <v>41.82</v>
      </c>
      <c r="M269" s="6">
        <v>44.88</v>
      </c>
      <c r="N269" s="3" t="s">
        <v>88</v>
      </c>
    </row>
    <row r="270" spans="1:14">
      <c r="A270" s="3" t="s">
        <v>360</v>
      </c>
      <c r="B270" s="4">
        <v>45741</v>
      </c>
      <c r="C270" s="3" t="s">
        <v>67</v>
      </c>
      <c r="D270" s="3" t="s">
        <v>68</v>
      </c>
      <c r="E270" s="3" t="s">
        <v>58</v>
      </c>
      <c r="F270" s="3" t="s">
        <v>84</v>
      </c>
      <c r="G270" s="3" t="s">
        <v>85</v>
      </c>
      <c r="H270" s="5">
        <v>1</v>
      </c>
      <c r="I270" s="6">
        <v>9.48</v>
      </c>
      <c r="J270" s="7">
        <v>0</v>
      </c>
      <c r="K270" s="6">
        <v>9.48</v>
      </c>
      <c r="L270" s="6">
        <v>3.79</v>
      </c>
      <c r="M270" s="6">
        <v>5.69</v>
      </c>
      <c r="N270" s="3" t="s">
        <v>63</v>
      </c>
    </row>
    <row r="271" spans="1:14">
      <c r="A271" s="3" t="s">
        <v>361</v>
      </c>
      <c r="B271" s="4">
        <v>46144</v>
      </c>
      <c r="C271" s="3" t="s">
        <v>74</v>
      </c>
      <c r="D271" s="3" t="s">
        <v>44</v>
      </c>
      <c r="E271" s="3" t="s">
        <v>90</v>
      </c>
      <c r="F271" s="3" t="s">
        <v>46</v>
      </c>
      <c r="G271" s="3" t="s">
        <v>116</v>
      </c>
      <c r="H271" s="5">
        <v>5</v>
      </c>
      <c r="I271" s="6">
        <v>23.68</v>
      </c>
      <c r="J271" s="7">
        <v>0.15</v>
      </c>
      <c r="K271" s="6">
        <v>100.64</v>
      </c>
      <c r="L271" s="6">
        <v>59.2</v>
      </c>
      <c r="M271" s="6">
        <v>41.44</v>
      </c>
      <c r="N271" s="3" t="s">
        <v>77</v>
      </c>
    </row>
    <row r="272" spans="1:14">
      <c r="A272" s="3" t="s">
        <v>362</v>
      </c>
      <c r="B272" s="4">
        <v>45775</v>
      </c>
      <c r="C272" s="3" t="s">
        <v>61</v>
      </c>
      <c r="D272" s="3" t="s">
        <v>62</v>
      </c>
      <c r="E272" s="3" t="s">
        <v>90</v>
      </c>
      <c r="F272" s="3" t="s">
        <v>84</v>
      </c>
      <c r="G272" s="3" t="s">
        <v>96</v>
      </c>
      <c r="H272" s="5">
        <v>1</v>
      </c>
      <c r="I272" s="6">
        <v>11.95</v>
      </c>
      <c r="J272" s="7">
        <v>0</v>
      </c>
      <c r="K272" s="6">
        <v>11.95</v>
      </c>
      <c r="L272" s="6">
        <v>4.54</v>
      </c>
      <c r="M272" s="6">
        <v>7.41</v>
      </c>
      <c r="N272" s="3" t="s">
        <v>88</v>
      </c>
    </row>
    <row r="273" spans="1:14">
      <c r="A273" s="3" t="s">
        <v>363</v>
      </c>
      <c r="B273" s="4">
        <v>46358</v>
      </c>
      <c r="C273" s="3" t="s">
        <v>61</v>
      </c>
      <c r="D273" s="3" t="s">
        <v>62</v>
      </c>
      <c r="E273" s="3" t="s">
        <v>45</v>
      </c>
      <c r="F273" s="3" t="s">
        <v>69</v>
      </c>
      <c r="G273" s="3" t="s">
        <v>70</v>
      </c>
      <c r="H273" s="5">
        <v>12</v>
      </c>
      <c r="I273" s="6">
        <v>95.43</v>
      </c>
      <c r="J273" s="7">
        <v>0.1</v>
      </c>
      <c r="K273" s="6">
        <v>1030.6400000000001</v>
      </c>
      <c r="L273" s="6">
        <v>595.48</v>
      </c>
      <c r="M273" s="6">
        <v>435.16</v>
      </c>
      <c r="N273" s="3" t="s">
        <v>48</v>
      </c>
    </row>
    <row r="274" spans="1:14">
      <c r="A274" s="3" t="s">
        <v>364</v>
      </c>
      <c r="B274" s="4">
        <v>45665</v>
      </c>
      <c r="C274" s="3" t="s">
        <v>50</v>
      </c>
      <c r="D274" s="3" t="s">
        <v>51</v>
      </c>
      <c r="E274" s="3" t="s">
        <v>58</v>
      </c>
      <c r="F274" s="3" t="s">
        <v>46</v>
      </c>
      <c r="G274" s="3" t="s">
        <v>75</v>
      </c>
      <c r="H274" s="5">
        <v>8</v>
      </c>
      <c r="I274" s="6">
        <v>18.02</v>
      </c>
      <c r="J274" s="7">
        <v>0.15</v>
      </c>
      <c r="K274" s="6">
        <v>122.54</v>
      </c>
      <c r="L274" s="6">
        <v>69.2</v>
      </c>
      <c r="M274" s="6">
        <v>53.34</v>
      </c>
      <c r="N274" s="3" t="s">
        <v>88</v>
      </c>
    </row>
    <row r="275" spans="1:14">
      <c r="A275" s="3" t="s">
        <v>365</v>
      </c>
      <c r="B275" s="4">
        <v>46033</v>
      </c>
      <c r="C275" s="3" t="s">
        <v>61</v>
      </c>
      <c r="D275" s="3" t="s">
        <v>62</v>
      </c>
      <c r="E275" s="3" t="s">
        <v>90</v>
      </c>
      <c r="F275" s="3" t="s">
        <v>84</v>
      </c>
      <c r="G275" s="3" t="s">
        <v>85</v>
      </c>
      <c r="H275" s="5">
        <v>8</v>
      </c>
      <c r="I275" s="6">
        <v>6.91</v>
      </c>
      <c r="J275" s="7">
        <v>0.1</v>
      </c>
      <c r="K275" s="6">
        <v>49.75</v>
      </c>
      <c r="L275" s="6">
        <v>22.11</v>
      </c>
      <c r="M275" s="6">
        <v>27.64</v>
      </c>
      <c r="N275" s="3" t="s">
        <v>65</v>
      </c>
    </row>
    <row r="276" spans="1:14">
      <c r="A276" s="3" t="s">
        <v>366</v>
      </c>
      <c r="B276" s="4">
        <v>45943</v>
      </c>
      <c r="C276" s="3" t="s">
        <v>56</v>
      </c>
      <c r="D276" s="3" t="s">
        <v>57</v>
      </c>
      <c r="E276" s="3" t="s">
        <v>45</v>
      </c>
      <c r="F276" s="3" t="s">
        <v>69</v>
      </c>
      <c r="G276" s="3" t="s">
        <v>79</v>
      </c>
      <c r="H276" s="5">
        <v>5</v>
      </c>
      <c r="I276" s="6">
        <v>139.38999999999999</v>
      </c>
      <c r="J276" s="7">
        <v>0.15</v>
      </c>
      <c r="K276" s="6">
        <v>592.41</v>
      </c>
      <c r="L276" s="6">
        <v>404.23</v>
      </c>
      <c r="M276" s="6">
        <v>188.18</v>
      </c>
      <c r="N276" s="3" t="s">
        <v>65</v>
      </c>
    </row>
    <row r="277" spans="1:14">
      <c r="A277" s="3" t="s">
        <v>367</v>
      </c>
      <c r="B277" s="4">
        <v>46357</v>
      </c>
      <c r="C277" s="3" t="s">
        <v>56</v>
      </c>
      <c r="D277" s="3" t="s">
        <v>57</v>
      </c>
      <c r="E277" s="3" t="s">
        <v>72</v>
      </c>
      <c r="F277" s="3" t="s">
        <v>69</v>
      </c>
      <c r="G277" s="3" t="s">
        <v>70</v>
      </c>
      <c r="H277" s="5">
        <v>12</v>
      </c>
      <c r="I277" s="6">
        <v>96.74</v>
      </c>
      <c r="J277" s="7">
        <v>0.1</v>
      </c>
      <c r="K277" s="6">
        <v>1044.79</v>
      </c>
      <c r="L277" s="6">
        <v>603.66</v>
      </c>
      <c r="M277" s="6">
        <v>441.13</v>
      </c>
      <c r="N277" s="3" t="s">
        <v>88</v>
      </c>
    </row>
    <row r="278" spans="1:14">
      <c r="A278" s="3" t="s">
        <v>368</v>
      </c>
      <c r="B278" s="4">
        <v>45974</v>
      </c>
      <c r="C278" s="3" t="s">
        <v>56</v>
      </c>
      <c r="D278" s="3" t="s">
        <v>57</v>
      </c>
      <c r="E278" s="3" t="s">
        <v>72</v>
      </c>
      <c r="F278" s="3" t="s">
        <v>84</v>
      </c>
      <c r="G278" s="3" t="s">
        <v>96</v>
      </c>
      <c r="H278" s="5">
        <v>2</v>
      </c>
      <c r="I278" s="6">
        <v>11.72</v>
      </c>
      <c r="J278" s="7">
        <v>0.05</v>
      </c>
      <c r="K278" s="6">
        <v>22.27</v>
      </c>
      <c r="L278" s="6">
        <v>8.91</v>
      </c>
      <c r="M278" s="6">
        <v>13.36</v>
      </c>
      <c r="N278" s="3" t="s">
        <v>65</v>
      </c>
    </row>
    <row r="279" spans="1:14">
      <c r="A279" s="3" t="s">
        <v>369</v>
      </c>
      <c r="B279" s="4">
        <v>46103</v>
      </c>
      <c r="C279" s="3" t="s">
        <v>74</v>
      </c>
      <c r="D279" s="3" t="s">
        <v>44</v>
      </c>
      <c r="E279" s="3" t="s">
        <v>72</v>
      </c>
      <c r="F279" s="3" t="s">
        <v>69</v>
      </c>
      <c r="G279" s="3" t="s">
        <v>70</v>
      </c>
      <c r="H279" s="5">
        <v>3</v>
      </c>
      <c r="I279" s="6">
        <v>95.04</v>
      </c>
      <c r="J279" s="7">
        <v>0.05</v>
      </c>
      <c r="K279" s="6">
        <v>270.86</v>
      </c>
      <c r="L279" s="6">
        <v>148.26</v>
      </c>
      <c r="M279" s="6">
        <v>122.6</v>
      </c>
      <c r="N279" s="3" t="s">
        <v>54</v>
      </c>
    </row>
    <row r="280" spans="1:14">
      <c r="A280" s="3" t="s">
        <v>370</v>
      </c>
      <c r="B280" s="4">
        <v>45996</v>
      </c>
      <c r="C280" s="3" t="s">
        <v>74</v>
      </c>
      <c r="D280" s="3" t="s">
        <v>44</v>
      </c>
      <c r="E280" s="3" t="s">
        <v>45</v>
      </c>
      <c r="F280" s="3" t="s">
        <v>69</v>
      </c>
      <c r="G280" s="3" t="s">
        <v>70</v>
      </c>
      <c r="H280" s="5">
        <v>11</v>
      </c>
      <c r="I280" s="6">
        <v>96.33</v>
      </c>
      <c r="J280" s="7">
        <v>0.15</v>
      </c>
      <c r="K280" s="6">
        <v>900.69</v>
      </c>
      <c r="L280" s="6">
        <v>551.01</v>
      </c>
      <c r="M280" s="6">
        <v>349.68</v>
      </c>
      <c r="N280" s="3" t="s">
        <v>88</v>
      </c>
    </row>
    <row r="281" spans="1:14">
      <c r="A281" s="3" t="s">
        <v>371</v>
      </c>
      <c r="B281" s="4">
        <v>46363</v>
      </c>
      <c r="C281" s="3" t="s">
        <v>74</v>
      </c>
      <c r="D281" s="3" t="s">
        <v>44</v>
      </c>
      <c r="E281" s="3" t="s">
        <v>58</v>
      </c>
      <c r="F281" s="3" t="s">
        <v>46</v>
      </c>
      <c r="G281" s="3" t="s">
        <v>75</v>
      </c>
      <c r="H281" s="5">
        <v>4</v>
      </c>
      <c r="I281" s="6">
        <v>18.39</v>
      </c>
      <c r="J281" s="7">
        <v>0.1</v>
      </c>
      <c r="K281" s="6">
        <v>66.2</v>
      </c>
      <c r="L281" s="6">
        <v>35.31</v>
      </c>
      <c r="M281" s="6">
        <v>30.89</v>
      </c>
      <c r="N281" s="3" t="s">
        <v>77</v>
      </c>
    </row>
    <row r="282" spans="1:14">
      <c r="A282" s="3" t="s">
        <v>372</v>
      </c>
      <c r="B282" s="4">
        <v>46004</v>
      </c>
      <c r="C282" s="3" t="s">
        <v>50</v>
      </c>
      <c r="D282" s="3" t="s">
        <v>51</v>
      </c>
      <c r="E282" s="3" t="s">
        <v>45</v>
      </c>
      <c r="F282" s="3" t="s">
        <v>52</v>
      </c>
      <c r="G282" s="3" t="s">
        <v>53</v>
      </c>
      <c r="H282" s="5">
        <v>11</v>
      </c>
      <c r="I282" s="6">
        <v>11.05</v>
      </c>
      <c r="J282" s="7">
        <v>0.05</v>
      </c>
      <c r="K282" s="6">
        <v>115.47</v>
      </c>
      <c r="L282" s="6">
        <v>52.27</v>
      </c>
      <c r="M282" s="6">
        <v>63.2</v>
      </c>
      <c r="N282" s="3" t="s">
        <v>65</v>
      </c>
    </row>
    <row r="283" spans="1:14">
      <c r="A283" s="3" t="s">
        <v>373</v>
      </c>
      <c r="B283" s="4">
        <v>46217</v>
      </c>
      <c r="C283" s="3" t="s">
        <v>67</v>
      </c>
      <c r="D283" s="3" t="s">
        <v>68</v>
      </c>
      <c r="E283" s="3" t="s">
        <v>90</v>
      </c>
      <c r="F283" s="3" t="s">
        <v>84</v>
      </c>
      <c r="G283" s="3" t="s">
        <v>85</v>
      </c>
      <c r="H283" s="5">
        <v>5</v>
      </c>
      <c r="I283" s="6">
        <v>9.83</v>
      </c>
      <c r="J283" s="7">
        <v>0.15</v>
      </c>
      <c r="K283" s="6">
        <v>41.78</v>
      </c>
      <c r="L283" s="6">
        <v>19.66</v>
      </c>
      <c r="M283" s="6">
        <v>22.12</v>
      </c>
      <c r="N283" s="3" t="s">
        <v>77</v>
      </c>
    </row>
    <row r="284" spans="1:14">
      <c r="A284" s="3" t="s">
        <v>374</v>
      </c>
      <c r="B284" s="4">
        <v>45714</v>
      </c>
      <c r="C284" s="3" t="s">
        <v>56</v>
      </c>
      <c r="D284" s="3" t="s">
        <v>57</v>
      </c>
      <c r="E284" s="3" t="s">
        <v>72</v>
      </c>
      <c r="F284" s="3" t="s">
        <v>69</v>
      </c>
      <c r="G284" s="3" t="s">
        <v>375</v>
      </c>
      <c r="H284" s="5">
        <v>12</v>
      </c>
      <c r="I284" s="6">
        <v>95.25</v>
      </c>
      <c r="J284" s="7">
        <v>0.15</v>
      </c>
      <c r="K284" s="6">
        <v>971.55</v>
      </c>
      <c r="L284" s="6">
        <v>594.36</v>
      </c>
      <c r="M284" s="6">
        <v>377.19</v>
      </c>
      <c r="N284" s="3" t="s">
        <v>88</v>
      </c>
    </row>
    <row r="285" spans="1:14">
      <c r="A285" s="3" t="s">
        <v>376</v>
      </c>
      <c r="B285" s="4">
        <v>46284</v>
      </c>
      <c r="C285" s="3" t="s">
        <v>67</v>
      </c>
      <c r="D285" s="3" t="s">
        <v>68</v>
      </c>
      <c r="E285" s="3" t="s">
        <v>58</v>
      </c>
      <c r="F285" s="3" t="s">
        <v>69</v>
      </c>
      <c r="G285" s="3" t="s">
        <v>81</v>
      </c>
      <c r="H285" s="5">
        <v>6</v>
      </c>
      <c r="I285" s="6">
        <v>260.33999999999997</v>
      </c>
      <c r="J285" s="7">
        <v>0.15</v>
      </c>
      <c r="K285" s="6">
        <v>1327.73</v>
      </c>
      <c r="L285" s="6">
        <v>937.22</v>
      </c>
      <c r="M285" s="6">
        <v>390.51</v>
      </c>
      <c r="N285" s="3" t="s">
        <v>77</v>
      </c>
    </row>
    <row r="286" spans="1:14">
      <c r="A286" s="3" t="s">
        <v>377</v>
      </c>
      <c r="B286" s="4">
        <v>45994</v>
      </c>
      <c r="C286" s="3" t="s">
        <v>61</v>
      </c>
      <c r="D286" s="3" t="s">
        <v>62</v>
      </c>
      <c r="E286" s="3" t="s">
        <v>45</v>
      </c>
      <c r="F286" s="3" t="s">
        <v>52</v>
      </c>
      <c r="G286" s="3" t="s">
        <v>91</v>
      </c>
      <c r="H286" s="5">
        <v>9</v>
      </c>
      <c r="I286" s="6">
        <v>18.98</v>
      </c>
      <c r="J286" s="7">
        <v>0</v>
      </c>
      <c r="K286" s="6">
        <v>170.82</v>
      </c>
      <c r="L286" s="6">
        <v>83.7</v>
      </c>
      <c r="M286" s="6">
        <v>87.12</v>
      </c>
      <c r="N286" s="3" t="s">
        <v>88</v>
      </c>
    </row>
    <row r="287" spans="1:14">
      <c r="A287" s="3" t="s">
        <v>378</v>
      </c>
      <c r="B287" s="4">
        <v>46060</v>
      </c>
      <c r="C287" s="3" t="s">
        <v>50</v>
      </c>
      <c r="D287" s="3" t="s">
        <v>51</v>
      </c>
      <c r="E287" s="3" t="s">
        <v>45</v>
      </c>
      <c r="F287" s="3" t="s">
        <v>84</v>
      </c>
      <c r="G287" s="3" t="s">
        <v>96</v>
      </c>
      <c r="H287" s="5">
        <v>10</v>
      </c>
      <c r="I287" s="6">
        <v>12.86</v>
      </c>
      <c r="J287" s="7">
        <v>0.15</v>
      </c>
      <c r="K287" s="6">
        <v>109.31</v>
      </c>
      <c r="L287" s="6">
        <v>48.87</v>
      </c>
      <c r="M287" s="6">
        <v>60.44</v>
      </c>
      <c r="N287" s="3" t="s">
        <v>48</v>
      </c>
    </row>
    <row r="288" spans="1:14">
      <c r="A288" s="3" t="s">
        <v>379</v>
      </c>
      <c r="B288" s="4">
        <v>45748</v>
      </c>
      <c r="C288" s="3" t="s">
        <v>50</v>
      </c>
      <c r="D288" s="3" t="s">
        <v>51</v>
      </c>
      <c r="E288" s="3" t="s">
        <v>90</v>
      </c>
      <c r="F288" s="3" t="s">
        <v>84</v>
      </c>
      <c r="G288" s="3" t="s">
        <v>96</v>
      </c>
      <c r="H288" s="5">
        <v>8</v>
      </c>
      <c r="I288" s="6">
        <v>12.89</v>
      </c>
      <c r="J288" s="7">
        <v>0.05</v>
      </c>
      <c r="K288" s="6">
        <v>97.96</v>
      </c>
      <c r="L288" s="6">
        <v>39.19</v>
      </c>
      <c r="M288" s="6">
        <v>58.77</v>
      </c>
      <c r="N288" s="3" t="s">
        <v>88</v>
      </c>
    </row>
    <row r="289" spans="1:14">
      <c r="A289" s="3" t="s">
        <v>380</v>
      </c>
      <c r="B289" s="4">
        <v>46133</v>
      </c>
      <c r="C289" s="3" t="s">
        <v>381</v>
      </c>
      <c r="D289" s="3" t="s">
        <v>62</v>
      </c>
      <c r="E289" s="3" t="s">
        <v>58</v>
      </c>
      <c r="F289" s="3" t="s">
        <v>69</v>
      </c>
      <c r="G289" s="3" t="s">
        <v>81</v>
      </c>
      <c r="H289" s="5">
        <v>1</v>
      </c>
      <c r="I289" s="6">
        <v>258.42</v>
      </c>
      <c r="J289" s="7">
        <v>0</v>
      </c>
      <c r="K289" s="6">
        <v>258.42</v>
      </c>
      <c r="L289" s="6">
        <v>155.05000000000001</v>
      </c>
      <c r="M289" s="6">
        <v>103.37</v>
      </c>
      <c r="N289" s="3" t="s">
        <v>88</v>
      </c>
    </row>
    <row r="290" spans="1:14">
      <c r="A290" s="3" t="s">
        <v>382</v>
      </c>
      <c r="B290" s="4">
        <v>45813</v>
      </c>
      <c r="C290" s="3" t="s">
        <v>67</v>
      </c>
      <c r="D290" s="3" t="s">
        <v>68</v>
      </c>
      <c r="E290" s="3" t="s">
        <v>58</v>
      </c>
      <c r="F290" s="3" t="s">
        <v>69</v>
      </c>
      <c r="G290" s="3" t="s">
        <v>79</v>
      </c>
      <c r="H290" s="5">
        <v>1</v>
      </c>
      <c r="I290" s="6">
        <v>141.82</v>
      </c>
      <c r="J290" s="7">
        <v>0.1</v>
      </c>
      <c r="K290" s="6">
        <v>127.64</v>
      </c>
      <c r="L290" s="6">
        <v>82.26</v>
      </c>
      <c r="M290" s="6">
        <v>45.38</v>
      </c>
      <c r="N290" s="3" t="s">
        <v>65</v>
      </c>
    </row>
    <row r="291" spans="1:14">
      <c r="A291" s="3" t="s">
        <v>383</v>
      </c>
      <c r="B291" s="4">
        <v>46075</v>
      </c>
      <c r="C291" s="3" t="s">
        <v>56</v>
      </c>
      <c r="D291" s="3" t="s">
        <v>57</v>
      </c>
      <c r="E291" s="3" t="s">
        <v>58</v>
      </c>
      <c r="F291" s="3" t="s">
        <v>84</v>
      </c>
      <c r="G291" s="3" t="s">
        <v>85</v>
      </c>
      <c r="H291" s="5">
        <v>3</v>
      </c>
      <c r="I291" s="6">
        <v>8.4</v>
      </c>
      <c r="J291" s="7">
        <v>0.1</v>
      </c>
      <c r="K291" s="6">
        <v>22.68</v>
      </c>
      <c r="L291" s="6">
        <v>10.08</v>
      </c>
      <c r="M291" s="6">
        <v>12.6</v>
      </c>
      <c r="N291" s="3" t="s">
        <v>63</v>
      </c>
    </row>
    <row r="292" spans="1:14">
      <c r="A292" s="3" t="s">
        <v>384</v>
      </c>
      <c r="B292" s="4">
        <v>45977</v>
      </c>
      <c r="C292" s="3" t="s">
        <v>61</v>
      </c>
      <c r="D292" s="3" t="s">
        <v>62</v>
      </c>
      <c r="E292" s="3" t="s">
        <v>72</v>
      </c>
      <c r="F292" s="3" t="s">
        <v>46</v>
      </c>
      <c r="G292" s="3" t="s">
        <v>116</v>
      </c>
      <c r="H292" s="5">
        <v>4</v>
      </c>
      <c r="I292" s="6">
        <v>22.8</v>
      </c>
      <c r="J292" s="7">
        <v>0.15</v>
      </c>
      <c r="K292" s="6">
        <v>77.52</v>
      </c>
      <c r="L292" s="6">
        <v>45.6</v>
      </c>
      <c r="M292" s="6">
        <v>31.92</v>
      </c>
      <c r="N292" s="3" t="s">
        <v>63</v>
      </c>
    </row>
    <row r="293" spans="1:14">
      <c r="A293" s="3" t="s">
        <v>385</v>
      </c>
      <c r="B293" s="4">
        <v>46237</v>
      </c>
      <c r="C293" s="3" t="s">
        <v>50</v>
      </c>
      <c r="D293" s="3" t="s">
        <v>51</v>
      </c>
      <c r="E293" s="3" t="s">
        <v>90</v>
      </c>
      <c r="F293" s="3" t="s">
        <v>69</v>
      </c>
      <c r="G293" s="3" t="s">
        <v>81</v>
      </c>
      <c r="H293" s="5">
        <v>1</v>
      </c>
      <c r="I293" s="6">
        <v>259.91000000000003</v>
      </c>
      <c r="J293" s="7">
        <v>0.15</v>
      </c>
      <c r="K293" s="6">
        <v>220.92</v>
      </c>
      <c r="L293" s="6">
        <v>155.94999999999999</v>
      </c>
      <c r="M293" s="6">
        <v>64.97</v>
      </c>
      <c r="N293" s="3" t="s">
        <v>63</v>
      </c>
    </row>
    <row r="294" spans="1:14">
      <c r="A294" s="3" t="s">
        <v>386</v>
      </c>
      <c r="B294" s="4">
        <v>46016</v>
      </c>
      <c r="C294" s="3" t="s">
        <v>50</v>
      </c>
      <c r="D294" s="3" t="s">
        <v>51</v>
      </c>
      <c r="E294" s="3" t="s">
        <v>72</v>
      </c>
      <c r="F294" s="3" t="s">
        <v>46</v>
      </c>
      <c r="G294" s="3" t="s">
        <v>93</v>
      </c>
      <c r="H294" s="5">
        <v>10</v>
      </c>
      <c r="I294" s="6">
        <v>25.72</v>
      </c>
      <c r="J294" s="7">
        <v>0.15</v>
      </c>
      <c r="K294" s="6">
        <v>218.62</v>
      </c>
      <c r="L294" s="6">
        <v>141.46</v>
      </c>
      <c r="M294" s="6">
        <v>77.16</v>
      </c>
      <c r="N294" s="3" t="s">
        <v>88</v>
      </c>
    </row>
    <row r="295" spans="1:14">
      <c r="A295" s="3" t="s">
        <v>387</v>
      </c>
      <c r="B295" s="4">
        <v>46127</v>
      </c>
      <c r="C295" s="3" t="s">
        <v>50</v>
      </c>
      <c r="D295" s="3" t="s">
        <v>51</v>
      </c>
      <c r="E295" s="3" t="s">
        <v>90</v>
      </c>
      <c r="F295" s="3" t="s">
        <v>46</v>
      </c>
      <c r="G295" s="3" t="s">
        <v>75</v>
      </c>
      <c r="H295" s="5">
        <v>7</v>
      </c>
      <c r="I295" s="6">
        <v>16.14</v>
      </c>
      <c r="J295" s="7">
        <v>0.1</v>
      </c>
      <c r="K295" s="6">
        <v>101.68</v>
      </c>
      <c r="L295" s="6">
        <v>54.23</v>
      </c>
      <c r="M295" s="6">
        <v>47.45</v>
      </c>
      <c r="N295" s="3" t="s">
        <v>65</v>
      </c>
    </row>
    <row r="296" spans="1:14">
      <c r="A296" s="3" t="s">
        <v>388</v>
      </c>
      <c r="B296" s="4">
        <v>46004</v>
      </c>
      <c r="C296" s="3" t="s">
        <v>67</v>
      </c>
      <c r="D296" s="3" t="s">
        <v>68</v>
      </c>
      <c r="E296" s="3" t="s">
        <v>45</v>
      </c>
      <c r="F296" s="3" t="s">
        <v>52</v>
      </c>
      <c r="G296" s="3" t="s">
        <v>53</v>
      </c>
      <c r="H296" s="5">
        <v>6</v>
      </c>
      <c r="I296" s="6">
        <v>8.06</v>
      </c>
      <c r="J296" s="7">
        <v>0</v>
      </c>
      <c r="K296" s="6">
        <v>48.36</v>
      </c>
      <c r="L296" s="6">
        <v>20.79</v>
      </c>
      <c r="M296" s="6">
        <v>27.57</v>
      </c>
      <c r="N296" s="3" t="s">
        <v>63</v>
      </c>
    </row>
    <row r="297" spans="1:14">
      <c r="A297" s="3" t="s">
        <v>389</v>
      </c>
      <c r="B297" s="4">
        <v>46127</v>
      </c>
      <c r="C297" s="3" t="s">
        <v>61</v>
      </c>
      <c r="D297" s="3" t="s">
        <v>62</v>
      </c>
      <c r="E297" s="3" t="s">
        <v>45</v>
      </c>
      <c r="F297" s="3" t="s">
        <v>52</v>
      </c>
      <c r="G297" s="3" t="s">
        <v>91</v>
      </c>
      <c r="H297" s="5">
        <v>5</v>
      </c>
      <c r="I297" s="6">
        <v>20.95</v>
      </c>
      <c r="J297" s="7">
        <v>0.15</v>
      </c>
      <c r="K297" s="6">
        <v>89.04</v>
      </c>
      <c r="L297" s="6">
        <v>51.33</v>
      </c>
      <c r="M297" s="6">
        <v>37.71</v>
      </c>
      <c r="N297" s="3" t="s">
        <v>88</v>
      </c>
    </row>
    <row r="298" spans="1:14">
      <c r="A298" s="3" t="s">
        <v>390</v>
      </c>
      <c r="B298" s="4">
        <v>45823</v>
      </c>
      <c r="C298" s="3" t="s">
        <v>61</v>
      </c>
      <c r="D298" s="3" t="s">
        <v>62</v>
      </c>
      <c r="E298" s="3" t="s">
        <v>72</v>
      </c>
      <c r="F298" s="3" t="s">
        <v>84</v>
      </c>
      <c r="G298" s="3" t="s">
        <v>134</v>
      </c>
      <c r="H298" s="5">
        <v>11</v>
      </c>
      <c r="I298" s="6">
        <v>15.07</v>
      </c>
      <c r="J298" s="7">
        <v>0</v>
      </c>
      <c r="K298" s="6">
        <v>165.77</v>
      </c>
      <c r="L298" s="6">
        <v>76.25</v>
      </c>
      <c r="M298" s="6">
        <v>89.52</v>
      </c>
      <c r="N298" s="3" t="s">
        <v>77</v>
      </c>
    </row>
    <row r="299" spans="1:14">
      <c r="A299" s="3" t="s">
        <v>391</v>
      </c>
      <c r="B299" s="4">
        <v>46312</v>
      </c>
      <c r="C299" s="3" t="s">
        <v>50</v>
      </c>
      <c r="D299" s="3" t="s">
        <v>51</v>
      </c>
      <c r="E299" s="3" t="s">
        <v>72</v>
      </c>
      <c r="F299" s="3" t="s">
        <v>46</v>
      </c>
      <c r="G299" s="3" t="s">
        <v>93</v>
      </c>
      <c r="H299" s="5">
        <v>6</v>
      </c>
      <c r="I299" s="6">
        <v>24.93</v>
      </c>
      <c r="J299" s="7">
        <v>0.1</v>
      </c>
      <c r="K299" s="6">
        <v>134.62</v>
      </c>
      <c r="L299" s="6">
        <v>82.27</v>
      </c>
      <c r="M299" s="6">
        <v>52.35</v>
      </c>
      <c r="N299" s="3" t="s">
        <v>65</v>
      </c>
    </row>
    <row r="300" spans="1:14">
      <c r="A300" s="3" t="s">
        <v>392</v>
      </c>
      <c r="B300" s="4">
        <v>45743</v>
      </c>
      <c r="C300" s="3" t="s">
        <v>67</v>
      </c>
      <c r="D300" s="3" t="s">
        <v>68</v>
      </c>
      <c r="E300" s="3" t="s">
        <v>58</v>
      </c>
      <c r="F300" s="3" t="s">
        <v>84</v>
      </c>
      <c r="G300" s="3" t="s">
        <v>134</v>
      </c>
      <c r="H300" s="5">
        <v>12</v>
      </c>
      <c r="I300" s="6">
        <v>15.11</v>
      </c>
      <c r="J300" s="7">
        <v>0.1</v>
      </c>
      <c r="K300" s="6">
        <v>163.19</v>
      </c>
      <c r="L300" s="6">
        <v>83.41</v>
      </c>
      <c r="M300" s="6">
        <v>79.78</v>
      </c>
      <c r="N300" s="3" t="s">
        <v>63</v>
      </c>
    </row>
    <row r="301" spans="1:14">
      <c r="A301" s="3" t="s">
        <v>393</v>
      </c>
      <c r="B301" s="4">
        <v>46048</v>
      </c>
      <c r="C301" s="3" t="s">
        <v>61</v>
      </c>
      <c r="D301" s="3" t="s">
        <v>62</v>
      </c>
      <c r="E301" s="3" t="s">
        <v>58</v>
      </c>
      <c r="F301" s="3" t="s">
        <v>69</v>
      </c>
      <c r="G301" s="3" t="s">
        <v>81</v>
      </c>
      <c r="H301" s="5">
        <v>1</v>
      </c>
      <c r="I301" s="6">
        <v>258.11</v>
      </c>
      <c r="J301" s="7">
        <v>0.15</v>
      </c>
      <c r="K301" s="6">
        <v>219.39</v>
      </c>
      <c r="L301" s="6">
        <v>154.87</v>
      </c>
      <c r="M301" s="6">
        <v>64.52</v>
      </c>
      <c r="N301" s="3" t="s">
        <v>48</v>
      </c>
    </row>
    <row r="302" spans="1:14">
      <c r="A302" s="3" t="s">
        <v>64</v>
      </c>
      <c r="B302" s="4">
        <v>45741</v>
      </c>
      <c r="C302" s="3" t="s">
        <v>50</v>
      </c>
      <c r="D302" s="3" t="s">
        <v>51</v>
      </c>
      <c r="E302" s="3" t="s">
        <v>45</v>
      </c>
      <c r="F302" s="3" t="s">
        <v>52</v>
      </c>
      <c r="G302" s="3" t="s">
        <v>59</v>
      </c>
      <c r="H302" s="5">
        <v>11</v>
      </c>
      <c r="I302" s="6">
        <v>13.15</v>
      </c>
      <c r="J302" s="7">
        <v>0.05</v>
      </c>
      <c r="K302" s="6">
        <v>137.41999999999999</v>
      </c>
      <c r="L302" s="6">
        <v>59.31</v>
      </c>
      <c r="M302" s="6">
        <v>78.11</v>
      </c>
      <c r="N302" s="3" t="s">
        <v>65</v>
      </c>
    </row>
    <row r="303" spans="1:14">
      <c r="A303" s="3" t="s">
        <v>95</v>
      </c>
      <c r="B303" s="4">
        <v>45693</v>
      </c>
      <c r="C303" s="3" t="s">
        <v>56</v>
      </c>
      <c r="D303" s="3" t="s">
        <v>57</v>
      </c>
      <c r="E303" s="3" t="s">
        <v>45</v>
      </c>
      <c r="F303" s="3" t="s">
        <v>84</v>
      </c>
      <c r="G303" s="3" t="s">
        <v>96</v>
      </c>
      <c r="H303" s="5">
        <v>11</v>
      </c>
      <c r="I303" s="6">
        <v>13.02</v>
      </c>
      <c r="J303" s="7">
        <v>0.15</v>
      </c>
      <c r="K303" s="6">
        <v>121.74</v>
      </c>
      <c r="L303" s="6">
        <v>54.42</v>
      </c>
      <c r="M303" s="6">
        <v>67.319999999999993</v>
      </c>
      <c r="N303" s="3" t="s">
        <v>54</v>
      </c>
    </row>
    <row r="304" spans="1:14">
      <c r="A304" s="3" t="s">
        <v>115</v>
      </c>
      <c r="B304" s="4">
        <v>46185</v>
      </c>
      <c r="C304" s="3" t="s">
        <v>50</v>
      </c>
      <c r="D304" s="3" t="s">
        <v>51</v>
      </c>
      <c r="E304" s="3" t="s">
        <v>72</v>
      </c>
      <c r="F304" s="3" t="s">
        <v>46</v>
      </c>
      <c r="G304" s="3" t="s">
        <v>116</v>
      </c>
      <c r="H304" s="5">
        <v>5</v>
      </c>
      <c r="I304" s="6">
        <v>22.47</v>
      </c>
      <c r="J304" s="7">
        <v>0.05</v>
      </c>
      <c r="K304" s="6">
        <v>106.73</v>
      </c>
      <c r="L304" s="6">
        <v>56.18</v>
      </c>
      <c r="M304" s="6">
        <v>50.55</v>
      </c>
      <c r="N304" s="3" t="s">
        <v>63</v>
      </c>
    </row>
    <row r="305" spans="1:14">
      <c r="A305" s="3" t="s">
        <v>145</v>
      </c>
      <c r="B305" s="4">
        <v>46306</v>
      </c>
      <c r="C305" s="3" t="s">
        <v>67</v>
      </c>
      <c r="D305" s="3" t="s">
        <v>68</v>
      </c>
      <c r="E305" s="3" t="s">
        <v>45</v>
      </c>
      <c r="F305" s="3" t="s">
        <v>46</v>
      </c>
      <c r="G305" s="3" t="s">
        <v>93</v>
      </c>
      <c r="H305" s="5">
        <v>6</v>
      </c>
      <c r="I305" s="6">
        <v>24.58</v>
      </c>
      <c r="J305" s="7">
        <v>0.05</v>
      </c>
      <c r="K305" s="6">
        <v>140.11000000000001</v>
      </c>
      <c r="L305" s="6">
        <v>81.11</v>
      </c>
      <c r="M305" s="6">
        <v>59</v>
      </c>
      <c r="N305" s="3" t="s">
        <v>54</v>
      </c>
    </row>
    <row r="306" spans="1:14">
      <c r="A306" s="3" t="s">
        <v>171</v>
      </c>
      <c r="B306" s="4">
        <v>45691</v>
      </c>
      <c r="C306" s="3" t="s">
        <v>61</v>
      </c>
      <c r="D306" s="3" t="s">
        <v>62</v>
      </c>
      <c r="E306" s="3" t="s">
        <v>72</v>
      </c>
      <c r="F306" s="3" t="s">
        <v>69</v>
      </c>
      <c r="G306" s="3" t="s">
        <v>70</v>
      </c>
      <c r="H306" s="5">
        <v>11</v>
      </c>
      <c r="I306" s="6">
        <v>93.03</v>
      </c>
      <c r="J306" s="7">
        <v>0.15</v>
      </c>
      <c r="K306" s="6">
        <v>869.83</v>
      </c>
      <c r="L306" s="6">
        <v>532.13</v>
      </c>
      <c r="M306" s="6">
        <v>337.7</v>
      </c>
      <c r="N306" s="3" t="s">
        <v>77</v>
      </c>
    </row>
    <row r="307" spans="1:14">
      <c r="A307" s="3" t="s">
        <v>193</v>
      </c>
      <c r="B307" s="4">
        <v>46243</v>
      </c>
      <c r="C307" s="3" t="s">
        <v>67</v>
      </c>
      <c r="D307" s="3" t="s">
        <v>68</v>
      </c>
      <c r="E307" s="3" t="s">
        <v>58</v>
      </c>
      <c r="F307" s="3" t="s">
        <v>69</v>
      </c>
      <c r="G307" s="3" t="s">
        <v>79</v>
      </c>
      <c r="H307" s="5">
        <v>5</v>
      </c>
      <c r="I307" s="6">
        <v>141.72999999999999</v>
      </c>
      <c r="J307" s="7">
        <v>0.05</v>
      </c>
      <c r="K307" s="6">
        <v>673.22</v>
      </c>
      <c r="L307" s="6">
        <v>411.02</v>
      </c>
      <c r="M307" s="6">
        <v>262.2</v>
      </c>
      <c r="N307" s="3" t="s">
        <v>54</v>
      </c>
    </row>
    <row r="308" spans="1:14">
      <c r="A308" s="3" t="s">
        <v>227</v>
      </c>
      <c r="B308" s="4">
        <v>45937</v>
      </c>
      <c r="C308" s="3" t="s">
        <v>67</v>
      </c>
      <c r="D308" s="3" t="s">
        <v>68</v>
      </c>
      <c r="E308" s="3" t="s">
        <v>58</v>
      </c>
      <c r="F308" s="3" t="s">
        <v>46</v>
      </c>
      <c r="G308" s="3" t="s">
        <v>228</v>
      </c>
      <c r="H308" s="5">
        <v>5</v>
      </c>
      <c r="I308" s="6">
        <v>24.41</v>
      </c>
      <c r="J308" s="7">
        <v>0.1</v>
      </c>
      <c r="K308" s="6">
        <v>109.85</v>
      </c>
      <c r="L308" s="6">
        <v>67.13</v>
      </c>
      <c r="M308" s="6">
        <v>42.72</v>
      </c>
      <c r="N308" s="3" t="s">
        <v>63</v>
      </c>
    </row>
    <row r="309" spans="1:14">
      <c r="A309" s="3" t="s">
        <v>263</v>
      </c>
      <c r="B309" s="4">
        <v>45734</v>
      </c>
      <c r="C309" s="3" t="s">
        <v>61</v>
      </c>
      <c r="D309" s="3" t="s">
        <v>62</v>
      </c>
      <c r="E309" s="3" t="s">
        <v>90</v>
      </c>
      <c r="F309" s="3" t="s">
        <v>46</v>
      </c>
      <c r="G309" s="3" t="s">
        <v>116</v>
      </c>
      <c r="H309" s="5">
        <v>7</v>
      </c>
      <c r="I309" s="6">
        <v>23.74</v>
      </c>
      <c r="J309" s="7">
        <v>0.1</v>
      </c>
      <c r="K309" s="6">
        <v>149.56</v>
      </c>
      <c r="L309" s="6">
        <v>83.09</v>
      </c>
      <c r="M309" s="6">
        <v>66.47</v>
      </c>
      <c r="N309" s="3" t="s">
        <v>48</v>
      </c>
    </row>
    <row r="310" spans="1:14">
      <c r="A310" s="3" t="s">
        <v>293</v>
      </c>
      <c r="B310" s="4">
        <v>46104</v>
      </c>
      <c r="C310" s="3" t="s">
        <v>74</v>
      </c>
      <c r="D310" s="3" t="s">
        <v>44</v>
      </c>
      <c r="E310" s="3" t="s">
        <v>90</v>
      </c>
      <c r="F310" s="3" t="s">
        <v>52</v>
      </c>
      <c r="G310" s="3" t="s">
        <v>53</v>
      </c>
      <c r="H310" s="5">
        <v>11</v>
      </c>
      <c r="I310" s="6">
        <v>11.6</v>
      </c>
      <c r="J310" s="7">
        <v>0</v>
      </c>
      <c r="K310" s="6">
        <v>127.6</v>
      </c>
      <c r="L310" s="6">
        <v>54.87</v>
      </c>
      <c r="M310" s="6">
        <v>72.73</v>
      </c>
      <c r="N310" s="3" t="s">
        <v>54</v>
      </c>
    </row>
    <row r="311" spans="1:14">
      <c r="A311" s="3" t="s">
        <v>319</v>
      </c>
      <c r="B311" s="4">
        <v>46328</v>
      </c>
      <c r="C311" s="3" t="s">
        <v>67</v>
      </c>
      <c r="D311" s="3" t="s">
        <v>68</v>
      </c>
      <c r="E311" s="3" t="s">
        <v>45</v>
      </c>
      <c r="F311" s="3" t="s">
        <v>84</v>
      </c>
      <c r="G311" s="3" t="s">
        <v>85</v>
      </c>
      <c r="H311" s="5">
        <v>2</v>
      </c>
      <c r="I311" s="6">
        <v>8.11</v>
      </c>
      <c r="J311" s="7">
        <v>0.1</v>
      </c>
      <c r="K311" s="6">
        <v>14.6</v>
      </c>
      <c r="L311" s="6">
        <v>6.49</v>
      </c>
      <c r="M311" s="6">
        <v>8.11</v>
      </c>
      <c r="N311" s="3" t="s">
        <v>48</v>
      </c>
    </row>
    <row r="312" spans="1:14">
      <c r="A312" s="3" t="s">
        <v>348</v>
      </c>
      <c r="B312" s="4">
        <v>46309</v>
      </c>
      <c r="C312" s="3" t="s">
        <v>74</v>
      </c>
      <c r="D312" s="3" t="s">
        <v>44</v>
      </c>
      <c r="E312" s="3" t="s">
        <v>58</v>
      </c>
      <c r="F312" s="3" t="s">
        <v>52</v>
      </c>
      <c r="G312" s="3" t="s">
        <v>91</v>
      </c>
      <c r="H312" s="5">
        <v>7</v>
      </c>
      <c r="I312" s="6">
        <v>18.03</v>
      </c>
      <c r="J312" s="7">
        <v>0.15</v>
      </c>
      <c r="K312" s="6">
        <v>107.28</v>
      </c>
      <c r="L312" s="6">
        <v>61.84</v>
      </c>
      <c r="M312" s="6">
        <v>45.44</v>
      </c>
      <c r="N312" s="3" t="s">
        <v>48</v>
      </c>
    </row>
    <row r="313" spans="1:14">
      <c r="A313" s="3" t="s">
        <v>385</v>
      </c>
      <c r="B313" s="4">
        <v>46237</v>
      </c>
      <c r="C313" s="3" t="s">
        <v>50</v>
      </c>
      <c r="D313" s="3" t="s">
        <v>51</v>
      </c>
      <c r="E313" s="3" t="s">
        <v>90</v>
      </c>
      <c r="F313" s="3" t="s">
        <v>69</v>
      </c>
      <c r="G313" s="3" t="s">
        <v>81</v>
      </c>
      <c r="H313" s="5">
        <v>1</v>
      </c>
      <c r="I313" s="6">
        <v>259.91000000000003</v>
      </c>
      <c r="J313" s="7">
        <v>0.15</v>
      </c>
      <c r="K313" s="6">
        <v>220.92</v>
      </c>
      <c r="L313" s="6">
        <v>155.94999999999999</v>
      </c>
      <c r="M313" s="6">
        <v>64.97</v>
      </c>
      <c r="N313" s="3" t="s">
        <v>63</v>
      </c>
    </row>
  </sheetData>
  <conditionalFormatting sqref="A2:N313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1"/>
  <sheetViews>
    <sheetView zoomScale="61" zoomScaleNormal="61" workbookViewId="0">
      <selection activeCell="H2" sqref="H2"/>
    </sheetView>
  </sheetViews>
  <sheetFormatPr defaultRowHeight="14"/>
  <cols>
    <col min="1" max="1" width="11.75" customWidth="1"/>
    <col min="2" max="3" width="11.75" style="10" customWidth="1"/>
    <col min="4" max="4" width="11.5" style="10" customWidth="1"/>
    <col min="5" max="5" width="0.75" style="26" hidden="1" customWidth="1"/>
    <col min="6" max="6" width="10.4140625" customWidth="1"/>
    <col min="7" max="7" width="0.6640625" customWidth="1"/>
    <col min="8" max="8" width="11.33203125" customWidth="1"/>
    <col min="9" max="9" width="13.33203125" style="10" customWidth="1"/>
    <col min="10" max="10" width="14.58203125" hidden="1" customWidth="1"/>
    <col min="11" max="11" width="19.6640625" customWidth="1"/>
    <col min="12" max="12" width="18" customWidth="1"/>
    <col min="13" max="13" width="12.9140625" hidden="1" customWidth="1"/>
    <col min="14" max="14" width="11.58203125" customWidth="1"/>
    <col min="15" max="15" width="14" customWidth="1"/>
    <col min="16" max="16" width="16.83203125" customWidth="1"/>
    <col min="17" max="17" width="13.08203125" customWidth="1"/>
    <col min="18" max="18" width="12.25" customWidth="1"/>
    <col min="19" max="19" width="7.58203125" customWidth="1"/>
    <col min="20" max="20" width="12.83203125" customWidth="1"/>
  </cols>
  <sheetData>
    <row r="1" spans="1:20">
      <c r="A1" s="2" t="s">
        <v>27</v>
      </c>
      <c r="B1" s="2" t="s">
        <v>400</v>
      </c>
      <c r="C1" s="2" t="s">
        <v>399</v>
      </c>
      <c r="D1" s="2" t="s">
        <v>401</v>
      </c>
      <c r="E1" s="24" t="s">
        <v>28</v>
      </c>
      <c r="F1" s="2" t="s">
        <v>29</v>
      </c>
      <c r="G1" s="2" t="s">
        <v>394</v>
      </c>
      <c r="H1" s="2" t="s">
        <v>30</v>
      </c>
      <c r="I1" s="2" t="s">
        <v>31</v>
      </c>
      <c r="J1" s="2" t="s">
        <v>398</v>
      </c>
      <c r="K1" s="2" t="s">
        <v>32</v>
      </c>
      <c r="L1" s="2" t="s">
        <v>33</v>
      </c>
      <c r="M1" s="2" t="s">
        <v>395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</row>
    <row r="2" spans="1:20">
      <c r="A2" s="3" t="s">
        <v>41</v>
      </c>
      <c r="B2" s="3" t="str">
        <f t="shared" ref="B2:B65" si="0">TEXT(E:E,"mmm")</f>
        <v>Jun</v>
      </c>
      <c r="C2" s="3" t="str">
        <f t="shared" ref="C2:C65" si="1">TEXT(E:E,"YYYY")</f>
        <v>2025</v>
      </c>
      <c r="D2" s="3" t="str">
        <f t="shared" ref="D2:D65" si="2">TEXT(E:E,"DDDD")</f>
        <v>Wednesday</v>
      </c>
      <c r="E2" s="25" t="s">
        <v>42</v>
      </c>
      <c r="F2" s="4" t="str">
        <f t="shared" ref="F2:F65" si="3">PROPER(G:G)</f>
        <v>Central</v>
      </c>
      <c r="G2" s="3" t="s">
        <v>43</v>
      </c>
      <c r="H2" s="3" t="s">
        <v>44</v>
      </c>
      <c r="I2" s="3" t="str">
        <f t="shared" ref="I2:I65" si="4">PROPER(J:J)</f>
        <v>Wholesale</v>
      </c>
      <c r="J2" s="3" t="s">
        <v>45</v>
      </c>
      <c r="K2" s="3" t="s">
        <v>46</v>
      </c>
      <c r="L2" s="3" t="str">
        <f>PROPER(TRIM(M:M))</f>
        <v>Wireless Mouse</v>
      </c>
      <c r="M2" s="3" t="s">
        <v>47</v>
      </c>
      <c r="N2" s="5">
        <v>8</v>
      </c>
      <c r="O2" s="6">
        <v>16.93</v>
      </c>
      <c r="P2" s="7">
        <v>0.15</v>
      </c>
      <c r="Q2" s="6">
        <v>115.12</v>
      </c>
      <c r="R2" s="6">
        <v>65.010000000000005</v>
      </c>
      <c r="S2" s="6">
        <v>50.11</v>
      </c>
      <c r="T2" s="3" t="s">
        <v>48</v>
      </c>
    </row>
    <row r="3" spans="1:20">
      <c r="A3" s="3" t="s">
        <v>49</v>
      </c>
      <c r="B3" s="3" t="str">
        <f t="shared" si="0"/>
        <v>Nov</v>
      </c>
      <c r="C3" s="3" t="str">
        <f t="shared" si="1"/>
        <v>2026</v>
      </c>
      <c r="D3" s="3" t="str">
        <f t="shared" si="2"/>
        <v>Thursday</v>
      </c>
      <c r="E3" s="25">
        <v>46352</v>
      </c>
      <c r="F3" s="4" t="str">
        <f t="shared" si="3"/>
        <v>North</v>
      </c>
      <c r="G3" s="3" t="s">
        <v>50</v>
      </c>
      <c r="H3" s="3" t="s">
        <v>51</v>
      </c>
      <c r="I3" s="3" t="str">
        <f t="shared" si="4"/>
        <v>Wholesale</v>
      </c>
      <c r="J3" s="3" t="s">
        <v>45</v>
      </c>
      <c r="K3" s="3" t="s">
        <v>52</v>
      </c>
      <c r="L3" s="3" t="str">
        <f t="shared" ref="L3:L65" si="5">PROPER(TRIM(M:M))</f>
        <v>Water Bottle</v>
      </c>
      <c r="M3" s="3" t="s">
        <v>53</v>
      </c>
      <c r="N3" s="5">
        <v>5</v>
      </c>
      <c r="O3" s="6">
        <v>8.9600000000000009</v>
      </c>
      <c r="P3" s="7">
        <v>0.15</v>
      </c>
      <c r="Q3" s="6">
        <v>38.08</v>
      </c>
      <c r="R3" s="6">
        <v>19.260000000000002</v>
      </c>
      <c r="S3" s="6">
        <v>18.82</v>
      </c>
      <c r="T3" s="3" t="s">
        <v>54</v>
      </c>
    </row>
    <row r="4" spans="1:20">
      <c r="A4" s="3" t="s">
        <v>55</v>
      </c>
      <c r="B4" s="3" t="str">
        <f t="shared" si="0"/>
        <v>Jun</v>
      </c>
      <c r="C4" s="3" t="str">
        <f t="shared" si="1"/>
        <v>2025</v>
      </c>
      <c r="D4" s="3" t="str">
        <f t="shared" si="2"/>
        <v>Friday</v>
      </c>
      <c r="E4" s="25">
        <v>45828</v>
      </c>
      <c r="F4" s="4" t="str">
        <f t="shared" si="3"/>
        <v>South</v>
      </c>
      <c r="G4" s="3" t="s">
        <v>56</v>
      </c>
      <c r="H4" s="3" t="s">
        <v>57</v>
      </c>
      <c r="I4" s="3" t="str">
        <f t="shared" si="4"/>
        <v>Online</v>
      </c>
      <c r="J4" s="3" t="s">
        <v>58</v>
      </c>
      <c r="K4" s="3" t="s">
        <v>52</v>
      </c>
      <c r="L4" s="3" t="str">
        <f t="shared" si="5"/>
        <v>Keyboard Cover</v>
      </c>
      <c r="M4" s="3" t="s">
        <v>59</v>
      </c>
      <c r="N4" s="5">
        <v>11</v>
      </c>
      <c r="O4" s="6">
        <v>12.83</v>
      </c>
      <c r="P4" s="7">
        <v>0.15</v>
      </c>
      <c r="Q4" s="6">
        <v>119.96</v>
      </c>
      <c r="R4" s="6">
        <v>57.86</v>
      </c>
      <c r="S4" s="6">
        <v>62.1</v>
      </c>
      <c r="T4" s="3" t="s">
        <v>48</v>
      </c>
    </row>
    <row r="5" spans="1:20">
      <c r="A5" s="3" t="s">
        <v>60</v>
      </c>
      <c r="B5" s="3" t="str">
        <f t="shared" si="0"/>
        <v>Aug</v>
      </c>
      <c r="C5" s="3" t="str">
        <f t="shared" si="1"/>
        <v>2026</v>
      </c>
      <c r="D5" s="3" t="str">
        <f t="shared" si="2"/>
        <v>Saturday</v>
      </c>
      <c r="E5" s="25">
        <v>46249</v>
      </c>
      <c r="F5" s="4" t="str">
        <f t="shared" si="3"/>
        <v>East</v>
      </c>
      <c r="G5" s="3" t="s">
        <v>61</v>
      </c>
      <c r="H5" s="3" t="s">
        <v>62</v>
      </c>
      <c r="I5" s="3" t="str">
        <f t="shared" si="4"/>
        <v>Online</v>
      </c>
      <c r="J5" s="3" t="s">
        <v>58</v>
      </c>
      <c r="K5" s="3" t="s">
        <v>52</v>
      </c>
      <c r="L5" s="3" t="str">
        <f t="shared" si="5"/>
        <v>Water Bottle</v>
      </c>
      <c r="M5" s="3" t="s">
        <v>53</v>
      </c>
      <c r="N5" s="5">
        <v>3</v>
      </c>
      <c r="O5" s="6">
        <v>8.6300000000000008</v>
      </c>
      <c r="P5" s="7">
        <v>0.15</v>
      </c>
      <c r="Q5" s="6">
        <v>22.01</v>
      </c>
      <c r="R5" s="6">
        <v>11.13</v>
      </c>
      <c r="S5" s="6">
        <v>10.88</v>
      </c>
      <c r="T5" s="3" t="s">
        <v>63</v>
      </c>
    </row>
    <row r="6" spans="1:20">
      <c r="A6" s="3" t="s">
        <v>64</v>
      </c>
      <c r="B6" s="3" t="str">
        <f t="shared" si="0"/>
        <v>Mar</v>
      </c>
      <c r="C6" s="3" t="str">
        <f t="shared" si="1"/>
        <v>2025</v>
      </c>
      <c r="D6" s="3" t="str">
        <f t="shared" si="2"/>
        <v>Tuesday</v>
      </c>
      <c r="E6" s="25">
        <v>45741</v>
      </c>
      <c r="F6" s="4" t="str">
        <f t="shared" si="3"/>
        <v>North</v>
      </c>
      <c r="G6" s="3" t="s">
        <v>50</v>
      </c>
      <c r="H6" s="3" t="s">
        <v>51</v>
      </c>
      <c r="I6" s="3" t="str">
        <f t="shared" si="4"/>
        <v>Wholesale</v>
      </c>
      <c r="J6" s="3" t="s">
        <v>45</v>
      </c>
      <c r="K6" s="3" t="s">
        <v>52</v>
      </c>
      <c r="L6" s="3" t="str">
        <f t="shared" si="5"/>
        <v>Keyboard Cover</v>
      </c>
      <c r="M6" s="3" t="s">
        <v>59</v>
      </c>
      <c r="N6" s="5">
        <v>11</v>
      </c>
      <c r="O6" s="6">
        <v>13.15</v>
      </c>
      <c r="P6" s="7">
        <v>0.05</v>
      </c>
      <c r="Q6" s="6">
        <v>137.41999999999999</v>
      </c>
      <c r="R6" s="6">
        <v>59.31</v>
      </c>
      <c r="S6" s="6">
        <v>78.11</v>
      </c>
      <c r="T6" s="3" t="s">
        <v>65</v>
      </c>
    </row>
    <row r="7" spans="1:20">
      <c r="A7" s="3" t="s">
        <v>66</v>
      </c>
      <c r="B7" s="3" t="str">
        <f t="shared" si="0"/>
        <v>Dec</v>
      </c>
      <c r="C7" s="3" t="str">
        <f t="shared" si="1"/>
        <v>2026</v>
      </c>
      <c r="D7" s="3" t="str">
        <f t="shared" si="2"/>
        <v>Wednesday</v>
      </c>
      <c r="E7" s="25">
        <v>46358</v>
      </c>
      <c r="F7" s="4" t="str">
        <f t="shared" si="3"/>
        <v>West</v>
      </c>
      <c r="G7" s="3" t="s">
        <v>67</v>
      </c>
      <c r="H7" s="3" t="s">
        <v>68</v>
      </c>
      <c r="I7" s="3" t="str">
        <f t="shared" si="4"/>
        <v>Online</v>
      </c>
      <c r="J7" s="3" t="s">
        <v>58</v>
      </c>
      <c r="K7" s="3" t="s">
        <v>69</v>
      </c>
      <c r="L7" s="3" t="str">
        <f t="shared" si="5"/>
        <v>Bookshelf</v>
      </c>
      <c r="M7" s="3" t="s">
        <v>70</v>
      </c>
      <c r="N7" s="5">
        <v>8</v>
      </c>
      <c r="O7" s="6">
        <v>94.17</v>
      </c>
      <c r="P7" s="7">
        <v>0.15</v>
      </c>
      <c r="Q7" s="6">
        <v>640.36</v>
      </c>
      <c r="R7" s="6">
        <v>391.75</v>
      </c>
      <c r="S7" s="6">
        <v>248.61</v>
      </c>
      <c r="T7" s="3" t="s">
        <v>48</v>
      </c>
    </row>
    <row r="8" spans="1:20">
      <c r="A8" s="3" t="s">
        <v>71</v>
      </c>
      <c r="B8" s="3" t="str">
        <f t="shared" si="0"/>
        <v>Jun</v>
      </c>
      <c r="C8" s="3" t="str">
        <f t="shared" si="1"/>
        <v>2025</v>
      </c>
      <c r="D8" s="3" t="str">
        <f t="shared" si="2"/>
        <v>Monday</v>
      </c>
      <c r="E8" s="25">
        <v>45831</v>
      </c>
      <c r="F8" s="4" t="str">
        <f t="shared" si="3"/>
        <v>North</v>
      </c>
      <c r="G8" s="3" t="s">
        <v>50</v>
      </c>
      <c r="H8" s="3" t="s">
        <v>51</v>
      </c>
      <c r="I8" s="3" t="str">
        <f t="shared" si="4"/>
        <v>Corporate</v>
      </c>
      <c r="J8" s="3" t="s">
        <v>72</v>
      </c>
      <c r="K8" s="3" t="s">
        <v>52</v>
      </c>
      <c r="L8" s="3" t="str">
        <f t="shared" si="5"/>
        <v>Keyboard Cover</v>
      </c>
      <c r="M8" s="3" t="s">
        <v>59</v>
      </c>
      <c r="N8" s="5">
        <v>6</v>
      </c>
      <c r="O8" s="6">
        <v>10.65</v>
      </c>
      <c r="P8" s="7">
        <v>0.15</v>
      </c>
      <c r="Q8" s="6">
        <v>54.32</v>
      </c>
      <c r="R8" s="6">
        <v>26.2</v>
      </c>
      <c r="S8" s="6">
        <v>28.12</v>
      </c>
      <c r="T8" s="3" t="s">
        <v>65</v>
      </c>
    </row>
    <row r="9" spans="1:20">
      <c r="A9" s="3" t="s">
        <v>73</v>
      </c>
      <c r="B9" s="3" t="str">
        <f t="shared" si="0"/>
        <v>Nov</v>
      </c>
      <c r="C9" s="3" t="str">
        <f t="shared" si="1"/>
        <v>2026</v>
      </c>
      <c r="D9" s="3" t="str">
        <f t="shared" si="2"/>
        <v>Tuesday</v>
      </c>
      <c r="E9" s="25">
        <v>46329</v>
      </c>
      <c r="F9" s="4" t="str">
        <f t="shared" si="3"/>
        <v>Central</v>
      </c>
      <c r="G9" s="3" t="s">
        <v>74</v>
      </c>
      <c r="H9" s="3" t="s">
        <v>44</v>
      </c>
      <c r="I9" s="3" t="str">
        <f t="shared" si="4"/>
        <v>Corporate</v>
      </c>
      <c r="J9" s="3" t="s">
        <v>72</v>
      </c>
      <c r="K9" s="3" t="s">
        <v>46</v>
      </c>
      <c r="L9" s="3" t="str">
        <f t="shared" si="5"/>
        <v>Wireless Mouse</v>
      </c>
      <c r="M9" s="3" t="s">
        <v>75</v>
      </c>
      <c r="N9" s="5">
        <v>1</v>
      </c>
      <c r="O9" s="6">
        <v>16.82</v>
      </c>
      <c r="P9" s="7">
        <v>0</v>
      </c>
      <c r="Q9" s="6">
        <v>16.82</v>
      </c>
      <c r="R9" s="6">
        <v>8.07</v>
      </c>
      <c r="S9" s="6">
        <v>8.75</v>
      </c>
      <c r="T9" s="3" t="s">
        <v>65</v>
      </c>
    </row>
    <row r="10" spans="1:20">
      <c r="A10" s="3" t="s">
        <v>76</v>
      </c>
      <c r="B10" s="3" t="str">
        <f t="shared" si="0"/>
        <v>Aug</v>
      </c>
      <c r="C10" s="3" t="str">
        <f t="shared" si="1"/>
        <v>2025</v>
      </c>
      <c r="D10" s="3" t="str">
        <f t="shared" si="2"/>
        <v>Tuesday</v>
      </c>
      <c r="E10" s="25">
        <v>45874</v>
      </c>
      <c r="F10" s="4" t="str">
        <f t="shared" si="3"/>
        <v>North</v>
      </c>
      <c r="G10" s="3" t="s">
        <v>50</v>
      </c>
      <c r="H10" s="3" t="s">
        <v>51</v>
      </c>
      <c r="I10" s="3" t="str">
        <f t="shared" si="4"/>
        <v>Online</v>
      </c>
      <c r="J10" s="3" t="s">
        <v>58</v>
      </c>
      <c r="K10" s="3" t="s">
        <v>52</v>
      </c>
      <c r="L10" s="3" t="str">
        <f t="shared" si="5"/>
        <v>Keyboard Cover</v>
      </c>
      <c r="M10" s="3" t="s">
        <v>59</v>
      </c>
      <c r="N10" s="5">
        <v>8</v>
      </c>
      <c r="O10" s="6">
        <v>10.09</v>
      </c>
      <c r="P10" s="7">
        <v>0.05</v>
      </c>
      <c r="Q10" s="6">
        <v>76.680000000000007</v>
      </c>
      <c r="R10" s="6">
        <v>33.1</v>
      </c>
      <c r="S10" s="6">
        <v>43.58</v>
      </c>
      <c r="T10" s="3" t="s">
        <v>77</v>
      </c>
    </row>
    <row r="11" spans="1:20">
      <c r="A11" s="3" t="s">
        <v>78</v>
      </c>
      <c r="B11" s="3" t="str">
        <f t="shared" si="0"/>
        <v>May</v>
      </c>
      <c r="C11" s="3" t="str">
        <f t="shared" si="1"/>
        <v>2026</v>
      </c>
      <c r="D11" s="3" t="str">
        <f t="shared" si="2"/>
        <v>Sunday</v>
      </c>
      <c r="E11" s="25">
        <v>46159</v>
      </c>
      <c r="F11" s="4" t="str">
        <f t="shared" si="3"/>
        <v>North</v>
      </c>
      <c r="G11" s="3" t="s">
        <v>50</v>
      </c>
      <c r="H11" s="3" t="s">
        <v>51</v>
      </c>
      <c r="I11" s="3" t="str">
        <f t="shared" si="4"/>
        <v>Corporate</v>
      </c>
      <c r="J11" s="3" t="s">
        <v>72</v>
      </c>
      <c r="K11" s="3" t="s">
        <v>69</v>
      </c>
      <c r="L11" s="3" t="str">
        <f t="shared" si="5"/>
        <v>Ergonomic Chair</v>
      </c>
      <c r="M11" s="3" t="s">
        <v>79</v>
      </c>
      <c r="N11" s="5">
        <v>10</v>
      </c>
      <c r="O11" s="6">
        <v>141.71</v>
      </c>
      <c r="P11" s="7">
        <v>0</v>
      </c>
      <c r="Q11" s="6">
        <v>1417.1</v>
      </c>
      <c r="R11" s="6">
        <v>821.92</v>
      </c>
      <c r="S11" s="6">
        <v>595.17999999999995</v>
      </c>
      <c r="T11" s="3" t="s">
        <v>77</v>
      </c>
    </row>
    <row r="12" spans="1:20">
      <c r="A12" s="3" t="s">
        <v>80</v>
      </c>
      <c r="B12" s="3" t="str">
        <f t="shared" si="0"/>
        <v>Mar</v>
      </c>
      <c r="C12" s="3" t="str">
        <f t="shared" si="1"/>
        <v>2025</v>
      </c>
      <c r="D12" s="3" t="str">
        <f t="shared" si="2"/>
        <v>Wednesday</v>
      </c>
      <c r="E12" s="25">
        <v>45721</v>
      </c>
      <c r="F12" s="4" t="str">
        <f t="shared" si="3"/>
        <v>Central</v>
      </c>
      <c r="G12" s="3" t="s">
        <v>74</v>
      </c>
      <c r="H12" s="3" t="s">
        <v>44</v>
      </c>
      <c r="I12" s="3" t="str">
        <f t="shared" si="4"/>
        <v>Wholesale</v>
      </c>
      <c r="J12" s="3" t="s">
        <v>45</v>
      </c>
      <c r="K12" s="3" t="s">
        <v>69</v>
      </c>
      <c r="L12" s="3" t="str">
        <f t="shared" si="5"/>
        <v>Standing Desk</v>
      </c>
      <c r="M12" s="3" t="s">
        <v>81</v>
      </c>
      <c r="N12" s="5">
        <v>7</v>
      </c>
      <c r="O12" s="6">
        <v>259.88</v>
      </c>
      <c r="P12" s="7">
        <v>0</v>
      </c>
      <c r="Q12" s="6">
        <v>1819.16</v>
      </c>
      <c r="R12" s="6">
        <v>1091.5</v>
      </c>
      <c r="S12" s="6">
        <v>727.66</v>
      </c>
      <c r="T12" s="3" t="s">
        <v>63</v>
      </c>
    </row>
    <row r="13" spans="1:20">
      <c r="A13" s="3" t="s">
        <v>82</v>
      </c>
      <c r="B13" s="3" t="str">
        <f t="shared" si="0"/>
        <v>Sep</v>
      </c>
      <c r="C13" s="3" t="str">
        <f t="shared" si="1"/>
        <v>2026</v>
      </c>
      <c r="D13" s="3" t="str">
        <f t="shared" si="2"/>
        <v>Monday</v>
      </c>
      <c r="E13" s="25">
        <v>46279</v>
      </c>
      <c r="F13" s="4" t="str">
        <f t="shared" si="3"/>
        <v>West</v>
      </c>
      <c r="G13" s="3" t="s">
        <v>67</v>
      </c>
      <c r="H13" s="3" t="s">
        <v>68</v>
      </c>
      <c r="I13" s="3" t="str">
        <f t="shared" si="4"/>
        <v>Corporate</v>
      </c>
      <c r="J13" s="3" t="s">
        <v>72</v>
      </c>
      <c r="K13" s="3" t="s">
        <v>46</v>
      </c>
      <c r="L13" s="3" t="str">
        <f t="shared" si="5"/>
        <v>Wireless Mouse</v>
      </c>
      <c r="M13" s="3" t="s">
        <v>75</v>
      </c>
      <c r="N13" s="5">
        <v>2</v>
      </c>
      <c r="O13" s="6">
        <v>16.27</v>
      </c>
      <c r="P13" s="7">
        <v>0.15</v>
      </c>
      <c r="Q13" s="6">
        <v>27.66</v>
      </c>
      <c r="R13" s="6">
        <v>15.62</v>
      </c>
      <c r="S13" s="6">
        <v>12.04</v>
      </c>
      <c r="T13" s="3" t="s">
        <v>48</v>
      </c>
    </row>
    <row r="14" spans="1:20">
      <c r="A14" s="3" t="s">
        <v>83</v>
      </c>
      <c r="B14" s="3" t="str">
        <f t="shared" si="0"/>
        <v>Aug</v>
      </c>
      <c r="C14" s="3" t="str">
        <f t="shared" si="1"/>
        <v>2025</v>
      </c>
      <c r="D14" s="3" t="str">
        <f t="shared" si="2"/>
        <v>Saturday</v>
      </c>
      <c r="E14" s="25">
        <v>45871</v>
      </c>
      <c r="F14" s="4" t="str">
        <f t="shared" si="3"/>
        <v>Central</v>
      </c>
      <c r="G14" s="3" t="s">
        <v>74</v>
      </c>
      <c r="H14" s="3" t="s">
        <v>44</v>
      </c>
      <c r="I14" s="3" t="str">
        <f t="shared" si="4"/>
        <v>Corporate</v>
      </c>
      <c r="J14" s="3" t="s">
        <v>72</v>
      </c>
      <c r="K14" s="3" t="s">
        <v>84</v>
      </c>
      <c r="L14" s="3" t="str">
        <f t="shared" si="5"/>
        <v>Notebook Set</v>
      </c>
      <c r="M14" s="3" t="s">
        <v>85</v>
      </c>
      <c r="N14" s="5">
        <v>1</v>
      </c>
      <c r="O14" s="6">
        <v>7.85</v>
      </c>
      <c r="P14" s="7">
        <v>0</v>
      </c>
      <c r="Q14" s="6">
        <v>7.85</v>
      </c>
      <c r="R14" s="6">
        <v>3.14</v>
      </c>
      <c r="S14" s="6">
        <v>4.71</v>
      </c>
      <c r="T14" s="3" t="s">
        <v>48</v>
      </c>
    </row>
    <row r="15" spans="1:20">
      <c r="A15" s="3" t="s">
        <v>86</v>
      </c>
      <c r="B15" s="3" t="str">
        <f t="shared" si="0"/>
        <v>Jul</v>
      </c>
      <c r="C15" s="3" t="str">
        <f t="shared" si="1"/>
        <v>2026</v>
      </c>
      <c r="D15" s="3" t="str">
        <f t="shared" si="2"/>
        <v>Sunday</v>
      </c>
      <c r="E15" s="25">
        <v>46229</v>
      </c>
      <c r="F15" s="4" t="str">
        <f t="shared" si="3"/>
        <v>West</v>
      </c>
      <c r="G15" s="3" t="s">
        <v>67</v>
      </c>
      <c r="H15" s="3" t="s">
        <v>68</v>
      </c>
      <c r="I15" s="3" t="str">
        <f t="shared" si="4"/>
        <v>Online</v>
      </c>
      <c r="J15" s="3" t="s">
        <v>58</v>
      </c>
      <c r="K15" s="3" t="s">
        <v>46</v>
      </c>
      <c r="L15" s="3" t="str">
        <f t="shared" si="5"/>
        <v>Wireless Mouse</v>
      </c>
      <c r="M15" s="3" t="s">
        <v>75</v>
      </c>
      <c r="N15" s="5">
        <v>3</v>
      </c>
      <c r="O15" s="6">
        <v>16.48</v>
      </c>
      <c r="P15" s="7">
        <v>0.05</v>
      </c>
      <c r="Q15" s="6">
        <v>46.97</v>
      </c>
      <c r="R15" s="6">
        <v>23.73</v>
      </c>
      <c r="S15" s="6">
        <v>23.24</v>
      </c>
      <c r="T15" s="3" t="s">
        <v>54</v>
      </c>
    </row>
    <row r="16" spans="1:20">
      <c r="A16" s="3" t="s">
        <v>87</v>
      </c>
      <c r="B16" s="3" t="str">
        <f t="shared" si="0"/>
        <v>Feb</v>
      </c>
      <c r="C16" s="3" t="str">
        <f t="shared" si="1"/>
        <v>2025</v>
      </c>
      <c r="D16" s="3" t="str">
        <f t="shared" si="2"/>
        <v>Sunday</v>
      </c>
      <c r="E16" s="25">
        <v>45704</v>
      </c>
      <c r="F16" s="4" t="str">
        <f t="shared" si="3"/>
        <v>East</v>
      </c>
      <c r="G16" s="3" t="s">
        <v>61</v>
      </c>
      <c r="H16" s="3" t="s">
        <v>62</v>
      </c>
      <c r="I16" s="3" t="str">
        <f t="shared" si="4"/>
        <v>Corporate</v>
      </c>
      <c r="J16" s="3" t="s">
        <v>72</v>
      </c>
      <c r="K16" s="3" t="s">
        <v>69</v>
      </c>
      <c r="L16" s="3" t="str">
        <f t="shared" si="5"/>
        <v>Bookshelf</v>
      </c>
      <c r="M16" s="3" t="s">
        <v>70</v>
      </c>
      <c r="N16" s="5">
        <v>9</v>
      </c>
      <c r="O16" s="6">
        <v>95.54</v>
      </c>
      <c r="P16" s="7">
        <v>0.05</v>
      </c>
      <c r="Q16" s="6">
        <v>816.87</v>
      </c>
      <c r="R16" s="6">
        <v>447.13</v>
      </c>
      <c r="S16" s="6">
        <v>369.74</v>
      </c>
      <c r="T16" s="3" t="s">
        <v>88</v>
      </c>
    </row>
    <row r="17" spans="1:20">
      <c r="A17" s="3" t="s">
        <v>89</v>
      </c>
      <c r="B17" s="3" t="str">
        <f t="shared" si="0"/>
        <v>Oct</v>
      </c>
      <c r="C17" s="3" t="str">
        <f t="shared" si="1"/>
        <v>2026</v>
      </c>
      <c r="D17" s="3" t="str">
        <f t="shared" si="2"/>
        <v>Saturday</v>
      </c>
      <c r="E17" s="25">
        <v>46312</v>
      </c>
      <c r="F17" s="4" t="str">
        <f t="shared" si="3"/>
        <v>South</v>
      </c>
      <c r="G17" s="3" t="s">
        <v>56</v>
      </c>
      <c r="H17" s="3" t="s">
        <v>57</v>
      </c>
      <c r="I17" s="3" t="str">
        <f t="shared" si="4"/>
        <v>Retail</v>
      </c>
      <c r="J17" s="3" t="s">
        <v>90</v>
      </c>
      <c r="K17" s="3" t="s">
        <v>52</v>
      </c>
      <c r="L17" s="3" t="str">
        <f t="shared" si="5"/>
        <v>Laptop Sleeve</v>
      </c>
      <c r="M17" s="3" t="s">
        <v>91</v>
      </c>
      <c r="N17" s="5">
        <v>6</v>
      </c>
      <c r="O17" s="6">
        <v>20.51</v>
      </c>
      <c r="P17" s="7">
        <v>0.1</v>
      </c>
      <c r="Q17" s="6">
        <v>110.75</v>
      </c>
      <c r="R17" s="6">
        <v>60.3</v>
      </c>
      <c r="S17" s="6">
        <v>50.45</v>
      </c>
      <c r="T17" s="3" t="s">
        <v>88</v>
      </c>
    </row>
    <row r="18" spans="1:20">
      <c r="A18" s="3" t="s">
        <v>92</v>
      </c>
      <c r="B18" s="3" t="str">
        <f t="shared" si="0"/>
        <v>Jul</v>
      </c>
      <c r="C18" s="3" t="str">
        <f t="shared" si="1"/>
        <v>2025</v>
      </c>
      <c r="D18" s="3" t="str">
        <f t="shared" si="2"/>
        <v>Sunday</v>
      </c>
      <c r="E18" s="25">
        <v>45851</v>
      </c>
      <c r="F18" s="4" t="str">
        <f t="shared" si="3"/>
        <v>North</v>
      </c>
      <c r="G18" s="3" t="s">
        <v>50</v>
      </c>
      <c r="H18" s="3" t="s">
        <v>51</v>
      </c>
      <c r="I18" s="3" t="str">
        <f t="shared" si="4"/>
        <v>Corporate</v>
      </c>
      <c r="J18" s="3" t="s">
        <v>72</v>
      </c>
      <c r="K18" s="3" t="s">
        <v>46</v>
      </c>
      <c r="L18" s="3" t="str">
        <f t="shared" si="5"/>
        <v>Usb-C Hub</v>
      </c>
      <c r="M18" s="3" t="s">
        <v>93</v>
      </c>
      <c r="N18" s="5">
        <v>10</v>
      </c>
      <c r="O18" s="6">
        <v>26.18</v>
      </c>
      <c r="P18" s="7">
        <v>0.05</v>
      </c>
      <c r="Q18" s="6">
        <v>248.71</v>
      </c>
      <c r="R18" s="6">
        <v>143.99</v>
      </c>
      <c r="S18" s="6">
        <v>104.72</v>
      </c>
      <c r="T18" s="3" t="s">
        <v>65</v>
      </c>
    </row>
    <row r="19" spans="1:20">
      <c r="A19" s="3" t="s">
        <v>94</v>
      </c>
      <c r="B19" s="3" t="str">
        <f t="shared" si="0"/>
        <v>May</v>
      </c>
      <c r="C19" s="3" t="str">
        <f t="shared" si="1"/>
        <v>2026</v>
      </c>
      <c r="D19" s="3" t="str">
        <f t="shared" si="2"/>
        <v>Friday</v>
      </c>
      <c r="E19" s="25">
        <v>46164</v>
      </c>
      <c r="F19" s="4" t="str">
        <f t="shared" si="3"/>
        <v>South</v>
      </c>
      <c r="G19" s="3" t="s">
        <v>56</v>
      </c>
      <c r="H19" s="3" t="s">
        <v>57</v>
      </c>
      <c r="I19" s="3" t="str">
        <f t="shared" si="4"/>
        <v>Corporate</v>
      </c>
      <c r="J19" s="3" t="s">
        <v>72</v>
      </c>
      <c r="K19" s="3" t="s">
        <v>46</v>
      </c>
      <c r="L19" s="3" t="str">
        <f t="shared" si="5"/>
        <v>Wireless Mouse</v>
      </c>
      <c r="M19" s="3" t="s">
        <v>75</v>
      </c>
      <c r="N19" s="5">
        <v>4</v>
      </c>
      <c r="O19" s="6">
        <v>17.29</v>
      </c>
      <c r="P19" s="7">
        <v>0.15</v>
      </c>
      <c r="Q19" s="6">
        <v>58.79</v>
      </c>
      <c r="R19" s="6">
        <v>33.200000000000003</v>
      </c>
      <c r="S19" s="6">
        <v>25.59</v>
      </c>
      <c r="T19" s="3" t="s">
        <v>65</v>
      </c>
    </row>
    <row r="20" spans="1:20">
      <c r="A20" s="3" t="s">
        <v>95</v>
      </c>
      <c r="B20" s="3" t="str">
        <f t="shared" si="0"/>
        <v>Feb</v>
      </c>
      <c r="C20" s="3" t="str">
        <f t="shared" si="1"/>
        <v>2025</v>
      </c>
      <c r="D20" s="3" t="str">
        <f t="shared" si="2"/>
        <v>Wednesday</v>
      </c>
      <c r="E20" s="25">
        <v>45693</v>
      </c>
      <c r="F20" s="4" t="str">
        <f t="shared" si="3"/>
        <v>South</v>
      </c>
      <c r="G20" s="3" t="s">
        <v>56</v>
      </c>
      <c r="H20" s="3" t="s">
        <v>57</v>
      </c>
      <c r="I20" s="3" t="str">
        <f t="shared" si="4"/>
        <v>Wholesale</v>
      </c>
      <c r="J20" s="3" t="s">
        <v>45</v>
      </c>
      <c r="K20" s="3" t="s">
        <v>84</v>
      </c>
      <c r="L20" s="3" t="str">
        <f t="shared" si="5"/>
        <v>Printer Paper</v>
      </c>
      <c r="M20" s="3" t="s">
        <v>96</v>
      </c>
      <c r="N20" s="5">
        <v>11</v>
      </c>
      <c r="O20" s="6">
        <v>13.02</v>
      </c>
      <c r="P20" s="7">
        <v>0.15</v>
      </c>
      <c r="Q20" s="6">
        <v>121.74</v>
      </c>
      <c r="R20" s="6">
        <v>54.42</v>
      </c>
      <c r="S20" s="6">
        <v>67.319999999999993</v>
      </c>
      <c r="T20" s="3" t="s">
        <v>54</v>
      </c>
    </row>
    <row r="21" spans="1:20">
      <c r="A21" s="3" t="s">
        <v>97</v>
      </c>
      <c r="B21" s="3" t="str">
        <f t="shared" si="0"/>
        <v>May</v>
      </c>
      <c r="C21" s="3" t="str">
        <f t="shared" si="1"/>
        <v>2026</v>
      </c>
      <c r="D21" s="3" t="str">
        <f t="shared" si="2"/>
        <v>Wednesday</v>
      </c>
      <c r="E21" s="25">
        <v>46169</v>
      </c>
      <c r="F21" s="4" t="str">
        <f t="shared" si="3"/>
        <v>South</v>
      </c>
      <c r="G21" s="3" t="s">
        <v>56</v>
      </c>
      <c r="H21" s="3" t="s">
        <v>57</v>
      </c>
      <c r="I21" s="3" t="str">
        <f t="shared" si="4"/>
        <v>Online</v>
      </c>
      <c r="J21" s="3" t="s">
        <v>58</v>
      </c>
      <c r="K21" s="3" t="s">
        <v>46</v>
      </c>
      <c r="L21" s="3" t="str">
        <f t="shared" si="5"/>
        <v>Wireless Mouse</v>
      </c>
      <c r="M21" s="3" t="s">
        <v>75</v>
      </c>
      <c r="N21" s="5">
        <v>2</v>
      </c>
      <c r="O21" s="6">
        <v>18.36</v>
      </c>
      <c r="P21" s="7">
        <v>0.15</v>
      </c>
      <c r="Q21" s="6">
        <v>31.21</v>
      </c>
      <c r="R21" s="6">
        <v>17.63</v>
      </c>
      <c r="S21" s="6">
        <v>13.58</v>
      </c>
      <c r="T21" s="3" t="s">
        <v>63</v>
      </c>
    </row>
    <row r="22" spans="1:20">
      <c r="A22" s="3" t="s">
        <v>98</v>
      </c>
      <c r="B22" s="3" t="str">
        <f t="shared" si="0"/>
        <v>Apr</v>
      </c>
      <c r="C22" s="3" t="str">
        <f t="shared" si="1"/>
        <v>2025</v>
      </c>
      <c r="D22" s="3" t="str">
        <f t="shared" si="2"/>
        <v>Thursday</v>
      </c>
      <c r="E22" s="25">
        <v>45750</v>
      </c>
      <c r="F22" s="4" t="str">
        <f t="shared" si="3"/>
        <v>West</v>
      </c>
      <c r="G22" s="3" t="s">
        <v>67</v>
      </c>
      <c r="H22" s="3" t="s">
        <v>68</v>
      </c>
      <c r="I22" s="3" t="str">
        <f t="shared" si="4"/>
        <v>Corporate</v>
      </c>
      <c r="J22" s="3" t="s">
        <v>72</v>
      </c>
      <c r="K22" s="3" t="s">
        <v>69</v>
      </c>
      <c r="L22" s="3" t="str">
        <f t="shared" si="5"/>
        <v>Ergonomic Chair</v>
      </c>
      <c r="M22" s="3" t="s">
        <v>79</v>
      </c>
      <c r="N22" s="5">
        <v>12</v>
      </c>
      <c r="O22" s="6">
        <v>139.46</v>
      </c>
      <c r="P22" s="7">
        <v>0.05</v>
      </c>
      <c r="Q22" s="6">
        <v>1589.84</v>
      </c>
      <c r="R22" s="6">
        <v>970.64</v>
      </c>
      <c r="S22" s="6">
        <v>619.20000000000005</v>
      </c>
      <c r="T22" s="3" t="s">
        <v>65</v>
      </c>
    </row>
    <row r="23" spans="1:20">
      <c r="A23" s="3" t="s">
        <v>99</v>
      </c>
      <c r="B23" s="3" t="str">
        <f t="shared" si="0"/>
        <v>Oct</v>
      </c>
      <c r="C23" s="3" t="str">
        <f t="shared" si="1"/>
        <v>2026</v>
      </c>
      <c r="D23" s="3" t="str">
        <f t="shared" si="2"/>
        <v>Tuesday</v>
      </c>
      <c r="E23" s="25">
        <v>46322</v>
      </c>
      <c r="F23" s="4" t="str">
        <f t="shared" si="3"/>
        <v>South</v>
      </c>
      <c r="G23" s="3" t="s">
        <v>56</v>
      </c>
      <c r="H23" s="3" t="s">
        <v>57</v>
      </c>
      <c r="I23" s="3" t="str">
        <f t="shared" si="4"/>
        <v>Wholesale</v>
      </c>
      <c r="J23" s="3" t="s">
        <v>45</v>
      </c>
      <c r="K23" s="3" t="s">
        <v>46</v>
      </c>
      <c r="L23" s="3" t="str">
        <f t="shared" si="5"/>
        <v>Wireless Mouse</v>
      </c>
      <c r="M23" s="3" t="s">
        <v>75</v>
      </c>
      <c r="N23" s="5">
        <v>4</v>
      </c>
      <c r="O23" s="6">
        <v>19.66</v>
      </c>
      <c r="P23" s="7">
        <v>0.05</v>
      </c>
      <c r="Q23" s="6">
        <v>74.709999999999994</v>
      </c>
      <c r="R23" s="6">
        <v>37.75</v>
      </c>
      <c r="S23" s="6">
        <v>36.96</v>
      </c>
      <c r="T23" s="3" t="s">
        <v>48</v>
      </c>
    </row>
    <row r="24" spans="1:20">
      <c r="A24" s="3" t="s">
        <v>100</v>
      </c>
      <c r="B24" s="3" t="str">
        <f t="shared" si="0"/>
        <v>Jun</v>
      </c>
      <c r="C24" s="3" t="str">
        <f t="shared" si="1"/>
        <v>2025</v>
      </c>
      <c r="D24" s="3" t="str">
        <f t="shared" si="2"/>
        <v>Thursday</v>
      </c>
      <c r="E24" s="25">
        <v>45827</v>
      </c>
      <c r="F24" s="4" t="str">
        <f t="shared" si="3"/>
        <v>West</v>
      </c>
      <c r="G24" s="3" t="s">
        <v>67</v>
      </c>
      <c r="H24" s="3" t="s">
        <v>68</v>
      </c>
      <c r="I24" s="3" t="str">
        <f t="shared" si="4"/>
        <v>Wholesale</v>
      </c>
      <c r="J24" s="3" t="s">
        <v>45</v>
      </c>
      <c r="K24" s="3" t="s">
        <v>52</v>
      </c>
      <c r="L24" s="3" t="str">
        <f t="shared" si="5"/>
        <v>Water Bottle</v>
      </c>
      <c r="M24" s="3" t="s">
        <v>53</v>
      </c>
      <c r="N24" s="5">
        <v>9</v>
      </c>
      <c r="O24" s="6">
        <v>9.0500000000000007</v>
      </c>
      <c r="P24" s="7">
        <v>0.15</v>
      </c>
      <c r="Q24" s="6">
        <v>69.23</v>
      </c>
      <c r="R24" s="6">
        <v>35.020000000000003</v>
      </c>
      <c r="S24" s="6">
        <v>34.21</v>
      </c>
      <c r="T24" s="3" t="s">
        <v>63</v>
      </c>
    </row>
    <row r="25" spans="1:20">
      <c r="A25" s="3" t="s">
        <v>101</v>
      </c>
      <c r="B25" s="3" t="str">
        <f t="shared" si="0"/>
        <v>Aug</v>
      </c>
      <c r="C25" s="3" t="str">
        <f t="shared" si="1"/>
        <v>2026</v>
      </c>
      <c r="D25" s="3" t="str">
        <f t="shared" si="2"/>
        <v>Tuesday</v>
      </c>
      <c r="E25" s="25">
        <v>46238</v>
      </c>
      <c r="F25" s="4" t="str">
        <f t="shared" si="3"/>
        <v>North</v>
      </c>
      <c r="G25" s="3" t="s">
        <v>50</v>
      </c>
      <c r="H25" s="3" t="s">
        <v>51</v>
      </c>
      <c r="I25" s="3" t="str">
        <f t="shared" si="4"/>
        <v>Retail</v>
      </c>
      <c r="J25" s="3" t="s">
        <v>90</v>
      </c>
      <c r="K25" s="3" t="s">
        <v>84</v>
      </c>
      <c r="L25" s="3" t="str">
        <f t="shared" si="5"/>
        <v>Printer Paper</v>
      </c>
      <c r="M25" s="3" t="s">
        <v>96</v>
      </c>
      <c r="N25" s="5">
        <v>8</v>
      </c>
      <c r="O25" s="6">
        <v>11.54</v>
      </c>
      <c r="P25" s="7">
        <v>0</v>
      </c>
      <c r="Q25" s="6">
        <v>92.32</v>
      </c>
      <c r="R25" s="6">
        <v>35.08</v>
      </c>
      <c r="S25" s="6">
        <v>57.24</v>
      </c>
      <c r="T25" s="3" t="s">
        <v>88</v>
      </c>
    </row>
    <row r="26" spans="1:20">
      <c r="A26" s="3" t="s">
        <v>102</v>
      </c>
      <c r="B26" s="3" t="str">
        <f t="shared" si="0"/>
        <v>Feb</v>
      </c>
      <c r="C26" s="3" t="str">
        <f t="shared" si="1"/>
        <v>2025</v>
      </c>
      <c r="D26" s="3" t="str">
        <f t="shared" si="2"/>
        <v>Sunday</v>
      </c>
      <c r="E26" s="25">
        <v>45711</v>
      </c>
      <c r="F26" s="4" t="str">
        <f t="shared" si="3"/>
        <v>Central</v>
      </c>
      <c r="G26" s="3" t="s">
        <v>74</v>
      </c>
      <c r="H26" s="3" t="s">
        <v>44</v>
      </c>
      <c r="I26" s="3" t="str">
        <f t="shared" si="4"/>
        <v>Retail</v>
      </c>
      <c r="J26" s="3" t="s">
        <v>90</v>
      </c>
      <c r="K26" s="3" t="s">
        <v>52</v>
      </c>
      <c r="L26" s="3" t="str">
        <f t="shared" si="5"/>
        <v>Keyboard Cover</v>
      </c>
      <c r="M26" s="3" t="s">
        <v>59</v>
      </c>
      <c r="N26" s="5">
        <v>9</v>
      </c>
      <c r="O26" s="6">
        <v>13.44</v>
      </c>
      <c r="P26" s="7">
        <v>0.15</v>
      </c>
      <c r="Q26" s="6">
        <v>102.82</v>
      </c>
      <c r="R26" s="6">
        <v>49.59</v>
      </c>
      <c r="S26" s="6">
        <v>53.23</v>
      </c>
      <c r="T26" s="3" t="s">
        <v>48</v>
      </c>
    </row>
    <row r="27" spans="1:20">
      <c r="A27" s="3" t="s">
        <v>103</v>
      </c>
      <c r="B27" s="3" t="str">
        <f t="shared" si="0"/>
        <v>Nov</v>
      </c>
      <c r="C27" s="3" t="str">
        <f t="shared" si="1"/>
        <v>2026</v>
      </c>
      <c r="D27" s="3" t="str">
        <f t="shared" si="2"/>
        <v>Monday</v>
      </c>
      <c r="E27" s="25">
        <v>46328</v>
      </c>
      <c r="F27" s="4" t="str">
        <f t="shared" si="3"/>
        <v>South</v>
      </c>
      <c r="G27" s="3" t="s">
        <v>56</v>
      </c>
      <c r="H27" s="3" t="s">
        <v>57</v>
      </c>
      <c r="I27" s="3" t="str">
        <f t="shared" si="4"/>
        <v>Corporate</v>
      </c>
      <c r="J27" s="3" t="s">
        <v>72</v>
      </c>
      <c r="K27" s="3" t="s">
        <v>46</v>
      </c>
      <c r="L27" s="3" t="str">
        <f t="shared" si="5"/>
        <v>Usb-C Hub</v>
      </c>
      <c r="M27" s="3" t="s">
        <v>93</v>
      </c>
      <c r="N27" s="5">
        <v>3</v>
      </c>
      <c r="O27" s="6">
        <v>25.26</v>
      </c>
      <c r="P27" s="7">
        <v>0.1</v>
      </c>
      <c r="Q27" s="6">
        <v>68.2</v>
      </c>
      <c r="R27" s="6">
        <v>41.68</v>
      </c>
      <c r="S27" s="6">
        <v>26.52</v>
      </c>
      <c r="T27" s="3" t="s">
        <v>88</v>
      </c>
    </row>
    <row r="28" spans="1:20">
      <c r="A28" s="3" t="s">
        <v>104</v>
      </c>
      <c r="B28" s="3" t="str">
        <f t="shared" si="0"/>
        <v>Mar</v>
      </c>
      <c r="C28" s="3" t="str">
        <f t="shared" si="1"/>
        <v>2025</v>
      </c>
      <c r="D28" s="3" t="str">
        <f t="shared" si="2"/>
        <v>Thursday</v>
      </c>
      <c r="E28" s="25">
        <v>45743</v>
      </c>
      <c r="F28" s="4" t="str">
        <f t="shared" si="3"/>
        <v>South</v>
      </c>
      <c r="G28" s="3" t="s">
        <v>56</v>
      </c>
      <c r="H28" s="3" t="s">
        <v>57</v>
      </c>
      <c r="I28" s="3" t="str">
        <f t="shared" si="4"/>
        <v>Online</v>
      </c>
      <c r="J28" s="3" t="s">
        <v>58</v>
      </c>
      <c r="K28" s="3" t="s">
        <v>46</v>
      </c>
      <c r="L28" s="3" t="str">
        <f t="shared" si="5"/>
        <v>Usb-C Hub</v>
      </c>
      <c r="M28" s="3" t="s">
        <v>93</v>
      </c>
      <c r="N28" s="5">
        <v>6</v>
      </c>
      <c r="O28" s="6">
        <v>26.06</v>
      </c>
      <c r="P28" s="7">
        <v>0.05</v>
      </c>
      <c r="Q28" s="6">
        <v>148.54</v>
      </c>
      <c r="R28" s="6">
        <v>86</v>
      </c>
      <c r="S28" s="6">
        <v>62.54</v>
      </c>
      <c r="T28" s="3" t="s">
        <v>48</v>
      </c>
    </row>
    <row r="29" spans="1:20">
      <c r="A29" s="3" t="s">
        <v>105</v>
      </c>
      <c r="B29" s="3" t="str">
        <f t="shared" si="0"/>
        <v>Oct</v>
      </c>
      <c r="C29" s="3" t="str">
        <f t="shared" si="1"/>
        <v>2026</v>
      </c>
      <c r="D29" s="3" t="str">
        <f t="shared" si="2"/>
        <v>Friday</v>
      </c>
      <c r="E29" s="25">
        <v>46311</v>
      </c>
      <c r="F29" s="4" t="str">
        <f t="shared" si="3"/>
        <v>Central</v>
      </c>
      <c r="G29" s="3" t="s">
        <v>74</v>
      </c>
      <c r="H29" s="3" t="s">
        <v>44</v>
      </c>
      <c r="I29" s="3" t="str">
        <f t="shared" si="4"/>
        <v>Wholesale</v>
      </c>
      <c r="J29" s="3" t="s">
        <v>45</v>
      </c>
      <c r="K29" s="3" t="s">
        <v>84</v>
      </c>
      <c r="L29" s="3" t="str">
        <f t="shared" si="5"/>
        <v>Printer Paper</v>
      </c>
      <c r="M29" s="3" t="s">
        <v>96</v>
      </c>
      <c r="N29" s="5">
        <v>1</v>
      </c>
      <c r="O29" s="6">
        <v>12.49</v>
      </c>
      <c r="P29" s="7">
        <v>0</v>
      </c>
      <c r="Q29" s="6">
        <v>12.49</v>
      </c>
      <c r="R29" s="6">
        <v>4.75</v>
      </c>
      <c r="S29" s="6">
        <v>7.74</v>
      </c>
      <c r="T29" s="3" t="s">
        <v>77</v>
      </c>
    </row>
    <row r="30" spans="1:20">
      <c r="A30" s="3" t="s">
        <v>106</v>
      </c>
      <c r="B30" s="3" t="str">
        <f t="shared" si="0"/>
        <v>Jun</v>
      </c>
      <c r="C30" s="3" t="str">
        <f t="shared" si="1"/>
        <v>2025</v>
      </c>
      <c r="D30" s="3" t="str">
        <f t="shared" si="2"/>
        <v>Thursday</v>
      </c>
      <c r="E30" s="25">
        <v>45813</v>
      </c>
      <c r="F30" s="4" t="str">
        <f t="shared" si="3"/>
        <v>East</v>
      </c>
      <c r="G30" s="3" t="s">
        <v>61</v>
      </c>
      <c r="H30" s="3" t="s">
        <v>62</v>
      </c>
      <c r="I30" s="3" t="str">
        <f t="shared" si="4"/>
        <v>Corporate</v>
      </c>
      <c r="J30" s="3" t="s">
        <v>72</v>
      </c>
      <c r="K30" s="3" t="s">
        <v>52</v>
      </c>
      <c r="L30" s="3" t="str">
        <f t="shared" si="5"/>
        <v>Laptop Sleeve</v>
      </c>
      <c r="M30" s="3" t="s">
        <v>91</v>
      </c>
      <c r="N30" s="5">
        <v>1</v>
      </c>
      <c r="O30" s="6">
        <v>20.47</v>
      </c>
      <c r="P30" s="7">
        <v>0.05</v>
      </c>
      <c r="Q30" s="6">
        <v>19.45</v>
      </c>
      <c r="R30" s="6">
        <v>10.029999999999999</v>
      </c>
      <c r="S30" s="6">
        <v>9.42</v>
      </c>
      <c r="T30" s="3" t="s">
        <v>77</v>
      </c>
    </row>
    <row r="31" spans="1:20">
      <c r="A31" s="3" t="s">
        <v>107</v>
      </c>
      <c r="B31" s="3" t="str">
        <f t="shared" si="0"/>
        <v>Feb</v>
      </c>
      <c r="C31" s="3" t="str">
        <f t="shared" si="1"/>
        <v>2026</v>
      </c>
      <c r="D31" s="3" t="str">
        <f t="shared" si="2"/>
        <v>Saturday</v>
      </c>
      <c r="E31" s="25">
        <v>46067</v>
      </c>
      <c r="F31" s="4" t="str">
        <f t="shared" si="3"/>
        <v>North</v>
      </c>
      <c r="G31" s="3" t="s">
        <v>50</v>
      </c>
      <c r="H31" s="3" t="s">
        <v>51</v>
      </c>
      <c r="I31" s="3" t="str">
        <f t="shared" si="4"/>
        <v>Retail</v>
      </c>
      <c r="J31" s="3" t="s">
        <v>90</v>
      </c>
      <c r="K31" s="3" t="s">
        <v>69</v>
      </c>
      <c r="L31" s="3" t="str">
        <f t="shared" si="5"/>
        <v>Ergonomic Chair</v>
      </c>
      <c r="M31" s="3" t="s">
        <v>79</v>
      </c>
      <c r="N31" s="5">
        <v>6</v>
      </c>
      <c r="O31" s="6">
        <v>140.75</v>
      </c>
      <c r="P31" s="7">
        <v>0.1</v>
      </c>
      <c r="Q31" s="6">
        <v>760.05</v>
      </c>
      <c r="R31" s="6">
        <v>489.81</v>
      </c>
      <c r="S31" s="6">
        <v>270.24</v>
      </c>
      <c r="T31" s="3" t="s">
        <v>48</v>
      </c>
    </row>
    <row r="32" spans="1:20">
      <c r="A32" s="3" t="s">
        <v>108</v>
      </c>
      <c r="B32" s="3" t="str">
        <f t="shared" si="0"/>
        <v>May</v>
      </c>
      <c r="C32" s="3" t="str">
        <f t="shared" si="1"/>
        <v>2025</v>
      </c>
      <c r="D32" s="3" t="str">
        <f t="shared" si="2"/>
        <v>Sunday</v>
      </c>
      <c r="E32" s="25">
        <v>45795</v>
      </c>
      <c r="F32" s="4" t="str">
        <f t="shared" si="3"/>
        <v>West</v>
      </c>
      <c r="G32" s="3" t="s">
        <v>67</v>
      </c>
      <c r="H32" s="3" t="s">
        <v>68</v>
      </c>
      <c r="I32" s="3" t="str">
        <f t="shared" si="4"/>
        <v>Wholesale</v>
      </c>
      <c r="J32" s="3" t="s">
        <v>45</v>
      </c>
      <c r="K32" s="3" t="s">
        <v>52</v>
      </c>
      <c r="L32" s="3" t="str">
        <f t="shared" si="5"/>
        <v>Keyboard Cover</v>
      </c>
      <c r="M32" s="3" t="s">
        <v>59</v>
      </c>
      <c r="N32" s="5">
        <v>10</v>
      </c>
      <c r="O32" s="6">
        <v>10.38</v>
      </c>
      <c r="P32" s="7">
        <v>0.05</v>
      </c>
      <c r="Q32" s="6">
        <v>98.61</v>
      </c>
      <c r="R32" s="6">
        <v>42.56</v>
      </c>
      <c r="S32" s="6">
        <v>56.05</v>
      </c>
      <c r="T32" s="3" t="s">
        <v>88</v>
      </c>
    </row>
    <row r="33" spans="1:20">
      <c r="A33" s="3" t="s">
        <v>109</v>
      </c>
      <c r="B33" s="3" t="str">
        <f t="shared" si="0"/>
        <v>Apr</v>
      </c>
      <c r="C33" s="3" t="str">
        <f t="shared" si="1"/>
        <v>2026</v>
      </c>
      <c r="D33" s="3" t="str">
        <f t="shared" si="2"/>
        <v>Thursday</v>
      </c>
      <c r="E33" s="25">
        <v>46114</v>
      </c>
      <c r="F33" s="4" t="str">
        <f t="shared" si="3"/>
        <v>East</v>
      </c>
      <c r="G33" s="3" t="s">
        <v>61</v>
      </c>
      <c r="H33" s="3" t="s">
        <v>62</v>
      </c>
      <c r="I33" s="3" t="str">
        <f t="shared" si="4"/>
        <v>Retail</v>
      </c>
      <c r="J33" s="3" t="s">
        <v>90</v>
      </c>
      <c r="K33" s="3" t="s">
        <v>69</v>
      </c>
      <c r="L33" s="3" t="str">
        <f t="shared" si="5"/>
        <v>Bookshelf</v>
      </c>
      <c r="M33" s="3" t="s">
        <v>70</v>
      </c>
      <c r="N33" s="5">
        <v>6</v>
      </c>
      <c r="O33" s="6">
        <v>94.85</v>
      </c>
      <c r="P33" s="7">
        <v>0.05</v>
      </c>
      <c r="Q33" s="6">
        <v>540.64</v>
      </c>
      <c r="R33" s="6">
        <v>295.93</v>
      </c>
      <c r="S33" s="6">
        <v>244.71</v>
      </c>
      <c r="T33" s="3" t="s">
        <v>77</v>
      </c>
    </row>
    <row r="34" spans="1:20">
      <c r="A34" s="3" t="s">
        <v>110</v>
      </c>
      <c r="B34" s="3" t="str">
        <f t="shared" si="0"/>
        <v>Jul</v>
      </c>
      <c r="C34" s="3" t="str">
        <f t="shared" si="1"/>
        <v>2025</v>
      </c>
      <c r="D34" s="3" t="str">
        <f t="shared" si="2"/>
        <v>Tuesday</v>
      </c>
      <c r="E34" s="25">
        <v>45860</v>
      </c>
      <c r="F34" s="4" t="str">
        <f t="shared" si="3"/>
        <v>North</v>
      </c>
      <c r="G34" s="3" t="s">
        <v>50</v>
      </c>
      <c r="H34" s="3" t="s">
        <v>51</v>
      </c>
      <c r="I34" s="3" t="str">
        <f t="shared" si="4"/>
        <v>Retail</v>
      </c>
      <c r="J34" s="3" t="s">
        <v>90</v>
      </c>
      <c r="K34" s="3" t="s">
        <v>69</v>
      </c>
      <c r="L34" s="3" t="str">
        <f t="shared" si="5"/>
        <v>Ergonomic Chair</v>
      </c>
      <c r="M34" s="3" t="s">
        <v>79</v>
      </c>
      <c r="N34" s="5">
        <v>12</v>
      </c>
      <c r="O34" s="6">
        <v>141.15</v>
      </c>
      <c r="P34" s="7">
        <v>0.15</v>
      </c>
      <c r="Q34" s="6">
        <v>1439.73</v>
      </c>
      <c r="R34" s="6">
        <v>982.4</v>
      </c>
      <c r="S34" s="6">
        <v>457.33</v>
      </c>
      <c r="T34" s="3" t="s">
        <v>63</v>
      </c>
    </row>
    <row r="35" spans="1:20">
      <c r="A35" s="3" t="s">
        <v>111</v>
      </c>
      <c r="B35" s="3" t="str">
        <f t="shared" si="0"/>
        <v>May</v>
      </c>
      <c r="C35" s="3" t="str">
        <f t="shared" si="1"/>
        <v>2026</v>
      </c>
      <c r="D35" s="3" t="str">
        <f t="shared" si="2"/>
        <v>Sunday</v>
      </c>
      <c r="E35" s="25">
        <v>46152</v>
      </c>
      <c r="F35" s="4" t="str">
        <f t="shared" si="3"/>
        <v>North</v>
      </c>
      <c r="G35" s="3" t="s">
        <v>50</v>
      </c>
      <c r="H35" s="3" t="s">
        <v>51</v>
      </c>
      <c r="I35" s="3" t="str">
        <f t="shared" si="4"/>
        <v>Wholesale</v>
      </c>
      <c r="J35" s="3" t="s">
        <v>45</v>
      </c>
      <c r="K35" s="3" t="s">
        <v>52</v>
      </c>
      <c r="L35" s="3" t="str">
        <f t="shared" si="5"/>
        <v>Water Bottle</v>
      </c>
      <c r="M35" s="3" t="s">
        <v>53</v>
      </c>
      <c r="N35" s="5">
        <v>6</v>
      </c>
      <c r="O35" s="6">
        <v>8.33</v>
      </c>
      <c r="P35" s="7">
        <v>0.05</v>
      </c>
      <c r="Q35" s="6">
        <v>47.48</v>
      </c>
      <c r="R35" s="6">
        <v>21.49</v>
      </c>
      <c r="S35" s="6">
        <v>25.99</v>
      </c>
      <c r="T35" s="3" t="s">
        <v>77</v>
      </c>
    </row>
    <row r="36" spans="1:20">
      <c r="A36" s="3" t="s">
        <v>112</v>
      </c>
      <c r="B36" s="3" t="str">
        <f t="shared" si="0"/>
        <v>Mar</v>
      </c>
      <c r="C36" s="3" t="str">
        <f t="shared" si="1"/>
        <v>2025</v>
      </c>
      <c r="D36" s="3" t="str">
        <f t="shared" si="2"/>
        <v>Wednesday</v>
      </c>
      <c r="E36" s="25">
        <v>45728</v>
      </c>
      <c r="F36" s="4" t="str">
        <f t="shared" si="3"/>
        <v>West</v>
      </c>
      <c r="G36" s="3" t="s">
        <v>67</v>
      </c>
      <c r="H36" s="3" t="s">
        <v>68</v>
      </c>
      <c r="I36" s="3" t="str">
        <f t="shared" si="4"/>
        <v>Online</v>
      </c>
      <c r="J36" s="3" t="s">
        <v>58</v>
      </c>
      <c r="K36" s="3" t="s">
        <v>52</v>
      </c>
      <c r="L36" s="3" t="str">
        <f t="shared" si="5"/>
        <v>Laptop Sleeve</v>
      </c>
      <c r="M36" s="3" t="s">
        <v>91</v>
      </c>
      <c r="N36" s="5">
        <v>7</v>
      </c>
      <c r="O36" s="6">
        <v>21.52</v>
      </c>
      <c r="P36" s="7">
        <v>0.15</v>
      </c>
      <c r="Q36" s="6">
        <v>128.04</v>
      </c>
      <c r="R36" s="6">
        <v>73.81</v>
      </c>
      <c r="S36" s="6">
        <v>54.23</v>
      </c>
      <c r="T36" s="3" t="s">
        <v>54</v>
      </c>
    </row>
    <row r="37" spans="1:20">
      <c r="A37" s="3" t="s">
        <v>113</v>
      </c>
      <c r="B37" s="3" t="str">
        <f t="shared" si="0"/>
        <v>Apr</v>
      </c>
      <c r="C37" s="3" t="str">
        <f t="shared" si="1"/>
        <v>2026</v>
      </c>
      <c r="D37" s="3" t="str">
        <f t="shared" si="2"/>
        <v>Sunday</v>
      </c>
      <c r="E37" s="25">
        <v>46138</v>
      </c>
      <c r="F37" s="4" t="str">
        <f t="shared" si="3"/>
        <v>East</v>
      </c>
      <c r="G37" s="3" t="s">
        <v>61</v>
      </c>
      <c r="H37" s="3" t="s">
        <v>62</v>
      </c>
      <c r="I37" s="3" t="str">
        <f t="shared" si="4"/>
        <v>Online</v>
      </c>
      <c r="J37" s="3" t="s">
        <v>58</v>
      </c>
      <c r="K37" s="3" t="s">
        <v>84</v>
      </c>
      <c r="L37" s="3" t="str">
        <f t="shared" si="5"/>
        <v>Notebook Set</v>
      </c>
      <c r="M37" s="3" t="s">
        <v>85</v>
      </c>
      <c r="N37" s="5">
        <v>9</v>
      </c>
      <c r="O37" s="6">
        <v>7.8</v>
      </c>
      <c r="P37" s="7">
        <v>0.15</v>
      </c>
      <c r="Q37" s="6">
        <v>59.67</v>
      </c>
      <c r="R37" s="6">
        <v>28.08</v>
      </c>
      <c r="S37" s="6">
        <v>31.59</v>
      </c>
      <c r="T37" s="3" t="s">
        <v>65</v>
      </c>
    </row>
    <row r="38" spans="1:20">
      <c r="A38" s="3" t="s">
        <v>114</v>
      </c>
      <c r="B38" s="3" t="str">
        <f t="shared" si="0"/>
        <v>Jul</v>
      </c>
      <c r="C38" s="3" t="str">
        <f t="shared" si="1"/>
        <v>2025</v>
      </c>
      <c r="D38" s="3" t="str">
        <f t="shared" si="2"/>
        <v>Tuesday</v>
      </c>
      <c r="E38" s="25">
        <v>45853</v>
      </c>
      <c r="F38" s="4" t="str">
        <f t="shared" si="3"/>
        <v>North</v>
      </c>
      <c r="G38" s="3" t="s">
        <v>50</v>
      </c>
      <c r="H38" s="3" t="s">
        <v>51</v>
      </c>
      <c r="I38" s="3" t="str">
        <f t="shared" si="4"/>
        <v>Wholesale</v>
      </c>
      <c r="J38" s="3" t="s">
        <v>45</v>
      </c>
      <c r="K38" s="3" t="s">
        <v>84</v>
      </c>
      <c r="L38" s="3" t="str">
        <f t="shared" si="5"/>
        <v>Notebook Set</v>
      </c>
      <c r="M38" s="3" t="s">
        <v>85</v>
      </c>
      <c r="N38" s="5">
        <v>1</v>
      </c>
      <c r="O38" s="6">
        <v>9.0500000000000007</v>
      </c>
      <c r="P38" s="7">
        <v>0.15</v>
      </c>
      <c r="Q38" s="6">
        <v>7.69</v>
      </c>
      <c r="R38" s="6">
        <v>3.62</v>
      </c>
      <c r="S38" s="6">
        <v>4.07</v>
      </c>
      <c r="T38" s="3" t="s">
        <v>77</v>
      </c>
    </row>
    <row r="39" spans="1:20">
      <c r="A39" s="3" t="s">
        <v>115</v>
      </c>
      <c r="B39" s="3" t="str">
        <f t="shared" si="0"/>
        <v>Jun</v>
      </c>
      <c r="C39" s="3" t="str">
        <f t="shared" si="1"/>
        <v>2026</v>
      </c>
      <c r="D39" s="3" t="str">
        <f t="shared" si="2"/>
        <v>Friday</v>
      </c>
      <c r="E39" s="25">
        <v>46185</v>
      </c>
      <c r="F39" s="4" t="str">
        <f t="shared" si="3"/>
        <v>North</v>
      </c>
      <c r="G39" s="3" t="s">
        <v>50</v>
      </c>
      <c r="H39" s="3" t="s">
        <v>51</v>
      </c>
      <c r="I39" s="3" t="str">
        <f t="shared" si="4"/>
        <v>Corporate</v>
      </c>
      <c r="J39" s="3" t="s">
        <v>72</v>
      </c>
      <c r="K39" s="3" t="s">
        <v>46</v>
      </c>
      <c r="L39" s="3" t="str">
        <f t="shared" si="5"/>
        <v>Laptop Stand</v>
      </c>
      <c r="M39" s="3" t="s">
        <v>116</v>
      </c>
      <c r="N39" s="5">
        <v>5</v>
      </c>
      <c r="O39" s="6">
        <v>22.47</v>
      </c>
      <c r="P39" s="7">
        <v>0.05</v>
      </c>
      <c r="Q39" s="6">
        <v>106.73</v>
      </c>
      <c r="R39" s="6">
        <v>56.18</v>
      </c>
      <c r="S39" s="6">
        <v>50.55</v>
      </c>
      <c r="T39" s="3" t="s">
        <v>63</v>
      </c>
    </row>
    <row r="40" spans="1:20">
      <c r="A40" s="3" t="s">
        <v>117</v>
      </c>
      <c r="B40" s="3" t="str">
        <f t="shared" si="0"/>
        <v>Oct</v>
      </c>
      <c r="C40" s="3" t="str">
        <f t="shared" si="1"/>
        <v>2025</v>
      </c>
      <c r="D40" s="3" t="str">
        <f t="shared" si="2"/>
        <v>Sunday</v>
      </c>
      <c r="E40" s="25">
        <v>45949</v>
      </c>
      <c r="F40" s="4" t="str">
        <f t="shared" si="3"/>
        <v>South</v>
      </c>
      <c r="G40" s="3" t="s">
        <v>56</v>
      </c>
      <c r="H40" s="3" t="s">
        <v>57</v>
      </c>
      <c r="I40" s="3" t="str">
        <f t="shared" si="4"/>
        <v>Wholesale</v>
      </c>
      <c r="J40" s="3" t="s">
        <v>45</v>
      </c>
      <c r="K40" s="3" t="s">
        <v>84</v>
      </c>
      <c r="L40" s="3" t="str">
        <f t="shared" si="5"/>
        <v>Printer Paper</v>
      </c>
      <c r="M40" s="3" t="s">
        <v>96</v>
      </c>
      <c r="N40" s="5">
        <v>7</v>
      </c>
      <c r="O40" s="6">
        <v>12.29</v>
      </c>
      <c r="P40" s="7">
        <v>0.05</v>
      </c>
      <c r="Q40" s="6">
        <v>81.73</v>
      </c>
      <c r="R40" s="6">
        <v>32.69</v>
      </c>
      <c r="S40" s="6">
        <v>49.04</v>
      </c>
      <c r="T40" s="3" t="s">
        <v>48</v>
      </c>
    </row>
    <row r="41" spans="1:20">
      <c r="A41" s="3" t="s">
        <v>118</v>
      </c>
      <c r="B41" s="3" t="str">
        <f t="shared" si="0"/>
        <v>Mar</v>
      </c>
      <c r="C41" s="3" t="str">
        <f t="shared" si="1"/>
        <v>2026</v>
      </c>
      <c r="D41" s="3" t="str">
        <f t="shared" si="2"/>
        <v>Saturday</v>
      </c>
      <c r="E41" s="25">
        <v>46109</v>
      </c>
      <c r="F41" s="4" t="str">
        <f t="shared" si="3"/>
        <v>North</v>
      </c>
      <c r="G41" s="3" t="s">
        <v>50</v>
      </c>
      <c r="H41" s="3" t="s">
        <v>51</v>
      </c>
      <c r="I41" s="3" t="str">
        <f t="shared" si="4"/>
        <v>Corporate</v>
      </c>
      <c r="J41" s="3" t="s">
        <v>72</v>
      </c>
      <c r="K41" s="3" t="s">
        <v>69</v>
      </c>
      <c r="L41" s="3" t="str">
        <f t="shared" si="5"/>
        <v>Ergonomic Chair</v>
      </c>
      <c r="M41" s="3" t="s">
        <v>79</v>
      </c>
      <c r="N41" s="5">
        <v>4</v>
      </c>
      <c r="O41" s="6">
        <v>139.58000000000001</v>
      </c>
      <c r="P41" s="7">
        <v>0.05</v>
      </c>
      <c r="Q41" s="6">
        <v>530.4</v>
      </c>
      <c r="R41" s="6">
        <v>323.83</v>
      </c>
      <c r="S41" s="6">
        <v>206.57</v>
      </c>
      <c r="T41" s="3" t="s">
        <v>88</v>
      </c>
    </row>
    <row r="42" spans="1:20">
      <c r="A42" s="3" t="s">
        <v>119</v>
      </c>
      <c r="B42" s="3" t="str">
        <f t="shared" si="0"/>
        <v>Nov</v>
      </c>
      <c r="C42" s="3" t="str">
        <f t="shared" si="1"/>
        <v>2025</v>
      </c>
      <c r="D42" s="3" t="str">
        <f t="shared" si="2"/>
        <v>Sunday</v>
      </c>
      <c r="E42" s="25">
        <v>45984</v>
      </c>
      <c r="F42" s="4" t="str">
        <f t="shared" si="3"/>
        <v>Central</v>
      </c>
      <c r="G42" s="3" t="s">
        <v>74</v>
      </c>
      <c r="H42" s="3" t="s">
        <v>44</v>
      </c>
      <c r="I42" s="3" t="str">
        <f t="shared" si="4"/>
        <v>Corporate</v>
      </c>
      <c r="J42" s="3" t="s">
        <v>72</v>
      </c>
      <c r="K42" s="3" t="s">
        <v>52</v>
      </c>
      <c r="L42" s="3" t="str">
        <f t="shared" si="5"/>
        <v>Water Bottle</v>
      </c>
      <c r="M42" s="3" t="s">
        <v>53</v>
      </c>
      <c r="N42" s="5">
        <v>1</v>
      </c>
      <c r="O42" s="6">
        <v>9.49</v>
      </c>
      <c r="P42" s="7">
        <v>0.05</v>
      </c>
      <c r="Q42" s="6">
        <v>9.02</v>
      </c>
      <c r="R42" s="6">
        <v>4.08</v>
      </c>
      <c r="S42" s="6">
        <v>4.9400000000000004</v>
      </c>
      <c r="T42" s="3" t="s">
        <v>54</v>
      </c>
    </row>
    <row r="43" spans="1:20">
      <c r="A43" s="3" t="s">
        <v>120</v>
      </c>
      <c r="B43" s="3" t="str">
        <f t="shared" si="0"/>
        <v>Nov</v>
      </c>
      <c r="C43" s="3" t="str">
        <f t="shared" si="1"/>
        <v>2026</v>
      </c>
      <c r="D43" s="3" t="str">
        <f t="shared" si="2"/>
        <v>Tuesday</v>
      </c>
      <c r="E43" s="25">
        <v>46329</v>
      </c>
      <c r="F43" s="4" t="str">
        <f t="shared" si="3"/>
        <v>North</v>
      </c>
      <c r="G43" s="3" t="s">
        <v>121</v>
      </c>
      <c r="H43" s="3" t="s">
        <v>51</v>
      </c>
      <c r="I43" s="3" t="str">
        <f t="shared" si="4"/>
        <v>Online</v>
      </c>
      <c r="J43" s="3" t="s">
        <v>58</v>
      </c>
      <c r="K43" s="3" t="s">
        <v>69</v>
      </c>
      <c r="L43" s="3" t="str">
        <f t="shared" si="5"/>
        <v>Standing Desk</v>
      </c>
      <c r="M43" s="3" t="s">
        <v>81</v>
      </c>
      <c r="N43" s="5">
        <v>4</v>
      </c>
      <c r="O43" s="6">
        <v>259.99</v>
      </c>
      <c r="P43" s="7">
        <v>0</v>
      </c>
      <c r="Q43" s="6">
        <v>1039.96</v>
      </c>
      <c r="R43" s="6">
        <v>623.98</v>
      </c>
      <c r="S43" s="6">
        <v>415.98</v>
      </c>
      <c r="T43" s="3" t="s">
        <v>48</v>
      </c>
    </row>
    <row r="44" spans="1:20">
      <c r="A44" s="3" t="s">
        <v>122</v>
      </c>
      <c r="B44" s="3" t="str">
        <f t="shared" si="0"/>
        <v>Feb</v>
      </c>
      <c r="C44" s="3" t="str">
        <f t="shared" si="1"/>
        <v>2025</v>
      </c>
      <c r="D44" s="3" t="str">
        <f t="shared" si="2"/>
        <v>Friday</v>
      </c>
      <c r="E44" s="25">
        <v>45709</v>
      </c>
      <c r="F44" s="4" t="str">
        <f t="shared" si="3"/>
        <v>North</v>
      </c>
      <c r="G44" s="3" t="s">
        <v>50</v>
      </c>
      <c r="H44" s="3" t="s">
        <v>51</v>
      </c>
      <c r="I44" s="3" t="str">
        <f t="shared" si="4"/>
        <v>Retail</v>
      </c>
      <c r="J44" s="3" t="s">
        <v>90</v>
      </c>
      <c r="K44" s="3" t="s">
        <v>46</v>
      </c>
      <c r="L44" s="3" t="str">
        <f t="shared" si="5"/>
        <v>Usb-C Hub</v>
      </c>
      <c r="M44" s="3" t="s">
        <v>93</v>
      </c>
      <c r="N44" s="5">
        <v>10</v>
      </c>
      <c r="O44" s="6">
        <v>24.09</v>
      </c>
      <c r="P44" s="7">
        <v>0.1</v>
      </c>
      <c r="Q44" s="6">
        <v>216.81</v>
      </c>
      <c r="R44" s="6">
        <v>132.5</v>
      </c>
      <c r="S44" s="6">
        <v>84.31</v>
      </c>
      <c r="T44" s="3" t="s">
        <v>54</v>
      </c>
    </row>
    <row r="45" spans="1:20">
      <c r="A45" s="3" t="s">
        <v>123</v>
      </c>
      <c r="B45" s="3" t="str">
        <f t="shared" si="0"/>
        <v>Apr</v>
      </c>
      <c r="C45" s="3" t="str">
        <f t="shared" si="1"/>
        <v>2026</v>
      </c>
      <c r="D45" s="3" t="str">
        <f t="shared" si="2"/>
        <v>Tuesday</v>
      </c>
      <c r="E45" s="25">
        <v>46140</v>
      </c>
      <c r="F45" s="4" t="str">
        <f t="shared" si="3"/>
        <v>East</v>
      </c>
      <c r="G45" s="3" t="s">
        <v>61</v>
      </c>
      <c r="H45" s="3" t="s">
        <v>62</v>
      </c>
      <c r="I45" s="3" t="str">
        <f t="shared" si="4"/>
        <v>Corporate</v>
      </c>
      <c r="J45" s="3" t="s">
        <v>72</v>
      </c>
      <c r="K45" s="3" t="s">
        <v>69</v>
      </c>
      <c r="L45" s="3" t="str">
        <f t="shared" si="5"/>
        <v>Standing Desk</v>
      </c>
      <c r="M45" s="3" t="s">
        <v>81</v>
      </c>
      <c r="N45" s="5">
        <v>5</v>
      </c>
      <c r="O45" s="6">
        <v>259.64999999999998</v>
      </c>
      <c r="P45" s="7">
        <v>0.05</v>
      </c>
      <c r="Q45" s="6">
        <v>1233.3399999999999</v>
      </c>
      <c r="R45" s="6">
        <v>778.95</v>
      </c>
      <c r="S45" s="6">
        <v>454.39</v>
      </c>
      <c r="T45" s="3" t="s">
        <v>54</v>
      </c>
    </row>
    <row r="46" spans="1:20">
      <c r="A46" s="3" t="s">
        <v>124</v>
      </c>
      <c r="B46" s="3" t="str">
        <f t="shared" si="0"/>
        <v>Sep</v>
      </c>
      <c r="C46" s="3" t="str">
        <f t="shared" si="1"/>
        <v>2025</v>
      </c>
      <c r="D46" s="3" t="str">
        <f t="shared" si="2"/>
        <v>Friday</v>
      </c>
      <c r="E46" s="25">
        <v>45919</v>
      </c>
      <c r="F46" s="4" t="str">
        <f t="shared" si="3"/>
        <v>West</v>
      </c>
      <c r="G46" s="3" t="s">
        <v>67</v>
      </c>
      <c r="H46" s="3" t="s">
        <v>68</v>
      </c>
      <c r="I46" s="3" t="str">
        <f t="shared" si="4"/>
        <v>Online</v>
      </c>
      <c r="J46" s="3" t="s">
        <v>58</v>
      </c>
      <c r="K46" s="3" t="s">
        <v>69</v>
      </c>
      <c r="L46" s="3" t="str">
        <f t="shared" si="5"/>
        <v>Standing Desk</v>
      </c>
      <c r="M46" s="3" t="s">
        <v>81</v>
      </c>
      <c r="N46" s="5">
        <v>8</v>
      </c>
      <c r="O46" s="6">
        <v>260.58999999999997</v>
      </c>
      <c r="P46" s="7">
        <v>0</v>
      </c>
      <c r="Q46" s="6">
        <v>2084.7199999999998</v>
      </c>
      <c r="R46" s="6">
        <v>1250.83</v>
      </c>
      <c r="S46" s="6">
        <v>833.89</v>
      </c>
      <c r="T46" s="3" t="s">
        <v>54</v>
      </c>
    </row>
    <row r="47" spans="1:20">
      <c r="A47" s="3" t="s">
        <v>125</v>
      </c>
      <c r="B47" s="3" t="str">
        <f t="shared" si="0"/>
        <v>Sep</v>
      </c>
      <c r="C47" s="3" t="str">
        <f t="shared" si="1"/>
        <v>2026</v>
      </c>
      <c r="D47" s="3" t="str">
        <f t="shared" si="2"/>
        <v>Tuesday</v>
      </c>
      <c r="E47" s="25">
        <v>46280</v>
      </c>
      <c r="F47" s="4" t="str">
        <f t="shared" si="3"/>
        <v>North</v>
      </c>
      <c r="G47" s="3" t="s">
        <v>50</v>
      </c>
      <c r="H47" s="3" t="s">
        <v>51</v>
      </c>
      <c r="I47" s="3" t="str">
        <f t="shared" si="4"/>
        <v>Corporate</v>
      </c>
      <c r="J47" s="3" t="s">
        <v>72</v>
      </c>
      <c r="K47" s="3" t="s">
        <v>69</v>
      </c>
      <c r="L47" s="3" t="str">
        <f t="shared" si="5"/>
        <v>Ergonomic Chair</v>
      </c>
      <c r="M47" s="3" t="s">
        <v>79</v>
      </c>
      <c r="N47" s="5">
        <v>9</v>
      </c>
      <c r="O47" s="6">
        <v>140.22999999999999</v>
      </c>
      <c r="P47" s="7">
        <v>0.05</v>
      </c>
      <c r="Q47" s="6">
        <v>1198.97</v>
      </c>
      <c r="R47" s="6">
        <v>732</v>
      </c>
      <c r="S47" s="6">
        <v>466.97</v>
      </c>
      <c r="T47" s="3" t="s">
        <v>77</v>
      </c>
    </row>
    <row r="48" spans="1:20">
      <c r="A48" s="3" t="s">
        <v>126</v>
      </c>
      <c r="B48" s="3" t="str">
        <f t="shared" si="0"/>
        <v>Jan</v>
      </c>
      <c r="C48" s="3" t="str">
        <f t="shared" si="1"/>
        <v>2025</v>
      </c>
      <c r="D48" s="3" t="str">
        <f t="shared" si="2"/>
        <v>Sunday</v>
      </c>
      <c r="E48" s="25">
        <v>45683</v>
      </c>
      <c r="F48" s="4" t="str">
        <f t="shared" si="3"/>
        <v>North</v>
      </c>
      <c r="G48" s="3" t="s">
        <v>50</v>
      </c>
      <c r="H48" s="3" t="s">
        <v>51</v>
      </c>
      <c r="I48" s="3" t="str">
        <f t="shared" si="4"/>
        <v>Wholesale</v>
      </c>
      <c r="J48" s="3" t="s">
        <v>45</v>
      </c>
      <c r="K48" s="3" t="s">
        <v>84</v>
      </c>
      <c r="L48" s="3" t="str">
        <f t="shared" si="5"/>
        <v>Notebook Set</v>
      </c>
      <c r="M48" s="3" t="s">
        <v>85</v>
      </c>
      <c r="N48" s="5">
        <v>5</v>
      </c>
      <c r="O48" s="6">
        <v>7.2</v>
      </c>
      <c r="P48" s="7">
        <v>0</v>
      </c>
      <c r="Q48" s="6">
        <v>36</v>
      </c>
      <c r="R48" s="6">
        <v>14.4</v>
      </c>
      <c r="S48" s="6">
        <v>21.6</v>
      </c>
      <c r="T48" s="3" t="s">
        <v>65</v>
      </c>
    </row>
    <row r="49" spans="1:20">
      <c r="A49" s="3" t="s">
        <v>127</v>
      </c>
      <c r="B49" s="3" t="str">
        <f t="shared" si="0"/>
        <v>Jan</v>
      </c>
      <c r="C49" s="3" t="str">
        <f t="shared" si="1"/>
        <v>2026</v>
      </c>
      <c r="D49" s="3" t="str">
        <f t="shared" si="2"/>
        <v>Wednesday</v>
      </c>
      <c r="E49" s="25">
        <v>46036</v>
      </c>
      <c r="F49" s="4" t="str">
        <f t="shared" si="3"/>
        <v>West</v>
      </c>
      <c r="G49" s="3" t="s">
        <v>67</v>
      </c>
      <c r="H49" s="3" t="s">
        <v>68</v>
      </c>
      <c r="I49" s="3" t="str">
        <f t="shared" si="4"/>
        <v>Corporate</v>
      </c>
      <c r="J49" s="3" t="s">
        <v>72</v>
      </c>
      <c r="K49" s="3" t="s">
        <v>52</v>
      </c>
      <c r="L49" s="3" t="str">
        <f t="shared" si="5"/>
        <v>Keyboard Cover</v>
      </c>
      <c r="M49" s="3" t="s">
        <v>128</v>
      </c>
      <c r="N49" s="5">
        <v>4</v>
      </c>
      <c r="O49" s="6">
        <v>12.44</v>
      </c>
      <c r="P49" s="7">
        <v>0.15</v>
      </c>
      <c r="Q49" s="6">
        <v>42.3</v>
      </c>
      <c r="R49" s="6">
        <v>20.399999999999999</v>
      </c>
      <c r="S49" s="6">
        <v>21.9</v>
      </c>
      <c r="T49" s="3" t="s">
        <v>88</v>
      </c>
    </row>
    <row r="50" spans="1:20">
      <c r="A50" s="3" t="s">
        <v>129</v>
      </c>
      <c r="B50" s="3" t="str">
        <f t="shared" si="0"/>
        <v>May</v>
      </c>
      <c r="C50" s="3" t="str">
        <f t="shared" si="1"/>
        <v>2025</v>
      </c>
      <c r="D50" s="3" t="str">
        <f t="shared" si="2"/>
        <v>Monday</v>
      </c>
      <c r="E50" s="25">
        <v>45782</v>
      </c>
      <c r="F50" s="4" t="str">
        <f t="shared" si="3"/>
        <v>South</v>
      </c>
      <c r="G50" s="3" t="s">
        <v>56</v>
      </c>
      <c r="H50" s="3" t="s">
        <v>57</v>
      </c>
      <c r="I50" s="3" t="str">
        <f t="shared" si="4"/>
        <v>Online</v>
      </c>
      <c r="J50" s="3" t="s">
        <v>58</v>
      </c>
      <c r="K50" s="3" t="s">
        <v>52</v>
      </c>
      <c r="L50" s="3" t="str">
        <f t="shared" si="5"/>
        <v>Keyboard Cover</v>
      </c>
      <c r="M50" s="3" t="s">
        <v>59</v>
      </c>
      <c r="N50" s="5">
        <v>6</v>
      </c>
      <c r="O50" s="6">
        <v>10.53</v>
      </c>
      <c r="P50" s="7">
        <v>0.05</v>
      </c>
      <c r="Q50" s="6">
        <v>60.02</v>
      </c>
      <c r="R50" s="6">
        <v>25.9</v>
      </c>
      <c r="S50" s="6">
        <v>34.119999999999997</v>
      </c>
      <c r="T50" s="3" t="s">
        <v>54</v>
      </c>
    </row>
    <row r="51" spans="1:20">
      <c r="A51" s="3" t="s">
        <v>130</v>
      </c>
      <c r="B51" s="3" t="str">
        <f t="shared" si="0"/>
        <v>Oct</v>
      </c>
      <c r="C51" s="3" t="str">
        <f t="shared" si="1"/>
        <v>2026</v>
      </c>
      <c r="D51" s="3" t="str">
        <f t="shared" si="2"/>
        <v>Thursday</v>
      </c>
      <c r="E51" s="25">
        <v>46310</v>
      </c>
      <c r="F51" s="4" t="str">
        <f t="shared" si="3"/>
        <v>East</v>
      </c>
      <c r="G51" s="3" t="s">
        <v>61</v>
      </c>
      <c r="H51" s="3" t="s">
        <v>62</v>
      </c>
      <c r="I51" s="3" t="str">
        <f t="shared" si="4"/>
        <v>Corporate</v>
      </c>
      <c r="J51" s="3" t="s">
        <v>72</v>
      </c>
      <c r="K51" s="3" t="s">
        <v>52</v>
      </c>
      <c r="L51" s="3" t="str">
        <f t="shared" si="5"/>
        <v>Laptop Sleeve</v>
      </c>
      <c r="M51" s="3" t="s">
        <v>91</v>
      </c>
      <c r="N51" s="5">
        <v>11</v>
      </c>
      <c r="O51" s="6">
        <v>18.27</v>
      </c>
      <c r="P51" s="7">
        <v>0.15</v>
      </c>
      <c r="Q51" s="6">
        <v>170.82</v>
      </c>
      <c r="R51" s="6">
        <v>98.48</v>
      </c>
      <c r="S51" s="6">
        <v>72.34</v>
      </c>
      <c r="T51" s="3" t="s">
        <v>54</v>
      </c>
    </row>
    <row r="52" spans="1:20">
      <c r="A52" s="3" t="s">
        <v>131</v>
      </c>
      <c r="B52" s="3" t="str">
        <f t="shared" si="0"/>
        <v>Sep</v>
      </c>
      <c r="C52" s="3" t="str">
        <f t="shared" si="1"/>
        <v>2025</v>
      </c>
      <c r="D52" s="3" t="str">
        <f t="shared" si="2"/>
        <v>Friday</v>
      </c>
      <c r="E52" s="25">
        <v>45912</v>
      </c>
      <c r="F52" s="4" t="str">
        <f t="shared" si="3"/>
        <v>East</v>
      </c>
      <c r="G52" s="3" t="s">
        <v>61</v>
      </c>
      <c r="H52" s="3" t="s">
        <v>62</v>
      </c>
      <c r="I52" s="3" t="str">
        <f t="shared" si="4"/>
        <v>Retail</v>
      </c>
      <c r="J52" s="3" t="s">
        <v>90</v>
      </c>
      <c r="K52" s="3" t="s">
        <v>69</v>
      </c>
      <c r="L52" s="3" t="str">
        <f t="shared" si="5"/>
        <v>Bookshelf</v>
      </c>
      <c r="M52" s="3" t="s">
        <v>70</v>
      </c>
      <c r="N52" s="5">
        <v>7</v>
      </c>
      <c r="O52" s="6">
        <v>96.43</v>
      </c>
      <c r="P52" s="7">
        <v>0.1</v>
      </c>
      <c r="Q52" s="6">
        <v>607.51</v>
      </c>
      <c r="R52" s="6">
        <v>351.01</v>
      </c>
      <c r="S52" s="6">
        <v>256.5</v>
      </c>
      <c r="T52" s="3" t="s">
        <v>63</v>
      </c>
    </row>
    <row r="53" spans="1:20">
      <c r="A53" s="3" t="s">
        <v>132</v>
      </c>
      <c r="B53" s="3" t="str">
        <f t="shared" si="0"/>
        <v>Mar</v>
      </c>
      <c r="C53" s="3" t="str">
        <f t="shared" si="1"/>
        <v>2026</v>
      </c>
      <c r="D53" s="3" t="str">
        <f t="shared" si="2"/>
        <v>Sunday</v>
      </c>
      <c r="E53" s="25">
        <v>46096</v>
      </c>
      <c r="F53" s="4" t="str">
        <f t="shared" si="3"/>
        <v>West</v>
      </c>
      <c r="G53" s="3" t="s">
        <v>67</v>
      </c>
      <c r="H53" s="3" t="s">
        <v>68</v>
      </c>
      <c r="I53" s="3" t="str">
        <f t="shared" si="4"/>
        <v>Wholesale</v>
      </c>
      <c r="J53" s="3" t="s">
        <v>45</v>
      </c>
      <c r="K53" s="3" t="s">
        <v>69</v>
      </c>
      <c r="L53" s="3" t="str">
        <f t="shared" si="5"/>
        <v>Ergonomic Chair</v>
      </c>
      <c r="M53" s="3" t="s">
        <v>79</v>
      </c>
      <c r="N53" s="5">
        <v>3</v>
      </c>
      <c r="O53" s="6">
        <v>140.9</v>
      </c>
      <c r="P53" s="7">
        <v>0.15</v>
      </c>
      <c r="Q53" s="6">
        <v>359.3</v>
      </c>
      <c r="R53" s="6">
        <v>245.17</v>
      </c>
      <c r="S53" s="6">
        <v>114.13</v>
      </c>
      <c r="T53" s="3" t="s">
        <v>77</v>
      </c>
    </row>
    <row r="54" spans="1:20">
      <c r="A54" s="3" t="s">
        <v>133</v>
      </c>
      <c r="B54" s="3" t="str">
        <f t="shared" si="0"/>
        <v>Feb</v>
      </c>
      <c r="C54" s="3" t="str">
        <f t="shared" si="1"/>
        <v>2025</v>
      </c>
      <c r="D54" s="3" t="str">
        <f t="shared" si="2"/>
        <v>Saturday</v>
      </c>
      <c r="E54" s="25">
        <v>45703</v>
      </c>
      <c r="F54" s="4" t="str">
        <f t="shared" si="3"/>
        <v>East</v>
      </c>
      <c r="G54" s="3" t="s">
        <v>61</v>
      </c>
      <c r="H54" s="3" t="s">
        <v>62</v>
      </c>
      <c r="I54" s="3" t="str">
        <f t="shared" si="4"/>
        <v>Retail</v>
      </c>
      <c r="J54" s="3" t="s">
        <v>90</v>
      </c>
      <c r="K54" s="3" t="s">
        <v>84</v>
      </c>
      <c r="L54" s="3" t="str">
        <f t="shared" si="5"/>
        <v>Desk Organizer</v>
      </c>
      <c r="M54" s="3" t="s">
        <v>134</v>
      </c>
      <c r="N54" s="5">
        <v>8</v>
      </c>
      <c r="O54" s="6">
        <v>15.18</v>
      </c>
      <c r="P54" s="7">
        <v>0.05</v>
      </c>
      <c r="Q54" s="6">
        <v>115.37</v>
      </c>
      <c r="R54" s="6">
        <v>55.86</v>
      </c>
      <c r="S54" s="6">
        <v>59.51</v>
      </c>
      <c r="T54" s="3" t="s">
        <v>63</v>
      </c>
    </row>
    <row r="55" spans="1:20">
      <c r="A55" s="3" t="s">
        <v>135</v>
      </c>
      <c r="B55" s="3" t="str">
        <f t="shared" si="0"/>
        <v>Mar</v>
      </c>
      <c r="C55" s="3" t="str">
        <f t="shared" si="1"/>
        <v>2026</v>
      </c>
      <c r="D55" s="3" t="str">
        <f t="shared" si="2"/>
        <v>Thursday</v>
      </c>
      <c r="E55" s="25">
        <v>46107</v>
      </c>
      <c r="F55" s="4" t="str">
        <f t="shared" si="3"/>
        <v>East</v>
      </c>
      <c r="G55" s="3" t="s">
        <v>61</v>
      </c>
      <c r="H55" s="3" t="s">
        <v>62</v>
      </c>
      <c r="I55" s="3" t="str">
        <f t="shared" si="4"/>
        <v>Retail</v>
      </c>
      <c r="J55" s="3" t="s">
        <v>90</v>
      </c>
      <c r="K55" s="3" t="s">
        <v>52</v>
      </c>
      <c r="L55" s="3" t="str">
        <f t="shared" si="5"/>
        <v>Water Bottle</v>
      </c>
      <c r="M55" s="3" t="s">
        <v>53</v>
      </c>
      <c r="N55" s="5">
        <v>9</v>
      </c>
      <c r="O55" s="6">
        <v>9.9</v>
      </c>
      <c r="P55" s="7">
        <v>0.1</v>
      </c>
      <c r="Q55" s="6">
        <v>80.19</v>
      </c>
      <c r="R55" s="6">
        <v>38.31</v>
      </c>
      <c r="S55" s="6">
        <v>41.88</v>
      </c>
      <c r="T55" s="3" t="s">
        <v>54</v>
      </c>
    </row>
    <row r="56" spans="1:20">
      <c r="A56" s="3" t="s">
        <v>136</v>
      </c>
      <c r="B56" s="3" t="str">
        <f t="shared" si="0"/>
        <v>Oct</v>
      </c>
      <c r="C56" s="3" t="str">
        <f t="shared" si="1"/>
        <v>2025</v>
      </c>
      <c r="D56" s="3" t="str">
        <f t="shared" si="2"/>
        <v>Tuesday</v>
      </c>
      <c r="E56" s="25">
        <v>45937</v>
      </c>
      <c r="F56" s="4" t="str">
        <f t="shared" si="3"/>
        <v>Central</v>
      </c>
      <c r="G56" s="3" t="s">
        <v>74</v>
      </c>
      <c r="H56" s="3" t="s">
        <v>44</v>
      </c>
      <c r="I56" s="3" t="str">
        <f t="shared" si="4"/>
        <v>Retail</v>
      </c>
      <c r="J56" s="3" t="s">
        <v>90</v>
      </c>
      <c r="K56" s="3" t="s">
        <v>84</v>
      </c>
      <c r="L56" s="3" t="str">
        <f t="shared" si="5"/>
        <v>Printer Paper</v>
      </c>
      <c r="M56" s="3" t="s">
        <v>96</v>
      </c>
      <c r="N56" s="5">
        <v>1</v>
      </c>
      <c r="O56" s="6">
        <v>13.21</v>
      </c>
      <c r="P56" s="7">
        <v>0.1</v>
      </c>
      <c r="Q56" s="6">
        <v>11.89</v>
      </c>
      <c r="R56" s="6">
        <v>5.0199999999999996</v>
      </c>
      <c r="S56" s="6">
        <v>6.87</v>
      </c>
      <c r="T56" s="3" t="s">
        <v>48</v>
      </c>
    </row>
    <row r="57" spans="1:20">
      <c r="A57" s="3" t="s">
        <v>137</v>
      </c>
      <c r="B57" s="3" t="str">
        <f t="shared" si="0"/>
        <v>Apr</v>
      </c>
      <c r="C57" s="3" t="str">
        <f t="shared" si="1"/>
        <v>2026</v>
      </c>
      <c r="D57" s="3" t="str">
        <f t="shared" si="2"/>
        <v>Monday</v>
      </c>
      <c r="E57" s="25">
        <v>46139</v>
      </c>
      <c r="F57" s="4" t="str">
        <f t="shared" si="3"/>
        <v>South</v>
      </c>
      <c r="G57" s="3" t="s">
        <v>56</v>
      </c>
      <c r="H57" s="3" t="s">
        <v>57</v>
      </c>
      <c r="I57" s="3" t="str">
        <f t="shared" si="4"/>
        <v>Corporate</v>
      </c>
      <c r="J57" s="3" t="s">
        <v>72</v>
      </c>
      <c r="K57" s="3" t="s">
        <v>46</v>
      </c>
      <c r="L57" s="3" t="str">
        <f t="shared" si="5"/>
        <v>Laptop Stand</v>
      </c>
      <c r="M57" s="3" t="s">
        <v>116</v>
      </c>
      <c r="N57" s="5">
        <v>1</v>
      </c>
      <c r="O57" s="6">
        <v>21.78</v>
      </c>
      <c r="P57" s="7">
        <v>0</v>
      </c>
      <c r="Q57" s="6">
        <v>21.78</v>
      </c>
      <c r="R57" s="6">
        <v>10.89</v>
      </c>
      <c r="S57" s="6">
        <v>10.89</v>
      </c>
      <c r="T57" s="3" t="s">
        <v>88</v>
      </c>
    </row>
    <row r="58" spans="1:20">
      <c r="A58" s="3" t="s">
        <v>138</v>
      </c>
      <c r="B58" s="3" t="str">
        <f t="shared" si="0"/>
        <v>Oct</v>
      </c>
      <c r="C58" s="3" t="str">
        <f t="shared" si="1"/>
        <v>2025</v>
      </c>
      <c r="D58" s="3" t="str">
        <f t="shared" si="2"/>
        <v>Saturday</v>
      </c>
      <c r="E58" s="25">
        <v>45955</v>
      </c>
      <c r="F58" s="4" t="str">
        <f t="shared" si="3"/>
        <v>South</v>
      </c>
      <c r="G58" s="3" t="s">
        <v>56</v>
      </c>
      <c r="H58" s="3" t="s">
        <v>57</v>
      </c>
      <c r="I58" s="3" t="str">
        <f t="shared" si="4"/>
        <v>Online</v>
      </c>
      <c r="J58" s="3" t="s">
        <v>58</v>
      </c>
      <c r="K58" s="3" t="s">
        <v>52</v>
      </c>
      <c r="L58" s="3" t="str">
        <f t="shared" si="5"/>
        <v>Laptop Sleeve</v>
      </c>
      <c r="M58" s="3" t="s">
        <v>91</v>
      </c>
      <c r="N58" s="5">
        <v>6</v>
      </c>
      <c r="O58" s="6">
        <v>18.12</v>
      </c>
      <c r="P58" s="7">
        <v>0</v>
      </c>
      <c r="Q58" s="6">
        <v>108.72</v>
      </c>
      <c r="R58" s="6">
        <v>53.27</v>
      </c>
      <c r="S58" s="6">
        <v>55.45</v>
      </c>
      <c r="T58" s="3" t="s">
        <v>63</v>
      </c>
    </row>
    <row r="59" spans="1:20">
      <c r="A59" s="3" t="s">
        <v>139</v>
      </c>
      <c r="B59" s="3" t="str">
        <f t="shared" si="0"/>
        <v>May</v>
      </c>
      <c r="C59" s="3" t="str">
        <f t="shared" si="1"/>
        <v>2026</v>
      </c>
      <c r="D59" s="3" t="str">
        <f t="shared" si="2"/>
        <v>Tuesday</v>
      </c>
      <c r="E59" s="25">
        <v>46161</v>
      </c>
      <c r="F59" s="4" t="str">
        <f t="shared" si="3"/>
        <v>East</v>
      </c>
      <c r="G59" s="3" t="s">
        <v>61</v>
      </c>
      <c r="H59" s="3" t="s">
        <v>62</v>
      </c>
      <c r="I59" s="3" t="str">
        <f t="shared" si="4"/>
        <v>Retail</v>
      </c>
      <c r="J59" s="3" t="s">
        <v>90</v>
      </c>
      <c r="K59" s="3" t="s">
        <v>52</v>
      </c>
      <c r="L59" s="3" t="str">
        <f t="shared" si="5"/>
        <v>Keyboard Cover</v>
      </c>
      <c r="M59" s="3" t="s">
        <v>59</v>
      </c>
      <c r="N59" s="5">
        <v>12</v>
      </c>
      <c r="O59" s="6">
        <v>12.86</v>
      </c>
      <c r="P59" s="7">
        <v>0.05</v>
      </c>
      <c r="Q59" s="6">
        <v>146.6</v>
      </c>
      <c r="R59" s="6">
        <v>63.27</v>
      </c>
      <c r="S59" s="6">
        <v>83.33</v>
      </c>
      <c r="T59" s="3" t="s">
        <v>54</v>
      </c>
    </row>
    <row r="60" spans="1:20">
      <c r="A60" s="3" t="s">
        <v>140</v>
      </c>
      <c r="B60" s="3" t="str">
        <f t="shared" si="0"/>
        <v>Jul</v>
      </c>
      <c r="C60" s="3" t="str">
        <f t="shared" si="1"/>
        <v>2025</v>
      </c>
      <c r="D60" s="3" t="str">
        <f t="shared" si="2"/>
        <v>Saturday</v>
      </c>
      <c r="E60" s="25">
        <v>45850</v>
      </c>
      <c r="F60" s="4" t="str">
        <f t="shared" si="3"/>
        <v>South</v>
      </c>
      <c r="G60" s="3" t="s">
        <v>56</v>
      </c>
      <c r="H60" s="3" t="s">
        <v>57</v>
      </c>
      <c r="I60" s="3" t="str">
        <f t="shared" si="4"/>
        <v>Online</v>
      </c>
      <c r="J60" s="3" t="s">
        <v>58</v>
      </c>
      <c r="K60" s="3" t="s">
        <v>69</v>
      </c>
      <c r="L60" s="3" t="str">
        <f t="shared" si="5"/>
        <v>Ergonomic Chair</v>
      </c>
      <c r="M60" s="3" t="s">
        <v>79</v>
      </c>
      <c r="N60" s="5">
        <v>5</v>
      </c>
      <c r="O60" s="6">
        <v>138.68</v>
      </c>
      <c r="P60" s="7">
        <v>0.1</v>
      </c>
      <c r="Q60" s="6">
        <v>624.05999999999995</v>
      </c>
      <c r="R60" s="6">
        <v>402.17</v>
      </c>
      <c r="S60" s="6">
        <v>221.89</v>
      </c>
      <c r="T60" s="3" t="s">
        <v>48</v>
      </c>
    </row>
    <row r="61" spans="1:20">
      <c r="A61" s="3" t="s">
        <v>141</v>
      </c>
      <c r="B61" s="3" t="str">
        <f t="shared" si="0"/>
        <v>Oct</v>
      </c>
      <c r="C61" s="3" t="str">
        <f t="shared" si="1"/>
        <v>2026</v>
      </c>
      <c r="D61" s="3" t="str">
        <f t="shared" si="2"/>
        <v>Sunday</v>
      </c>
      <c r="E61" s="25">
        <v>46306</v>
      </c>
      <c r="F61" s="4" t="str">
        <f t="shared" si="3"/>
        <v>North</v>
      </c>
      <c r="G61" s="3" t="s">
        <v>50</v>
      </c>
      <c r="H61" s="3" t="s">
        <v>51</v>
      </c>
      <c r="I61" s="3" t="str">
        <f t="shared" si="4"/>
        <v>Retail</v>
      </c>
      <c r="J61" s="3" t="s">
        <v>90</v>
      </c>
      <c r="K61" s="3" t="s">
        <v>69</v>
      </c>
      <c r="L61" s="3" t="str">
        <f t="shared" si="5"/>
        <v>Standing Desk</v>
      </c>
      <c r="M61" s="3" t="s">
        <v>81</v>
      </c>
      <c r="N61" s="5">
        <v>1</v>
      </c>
      <c r="O61" s="6">
        <v>260.76</v>
      </c>
      <c r="P61" s="7">
        <v>0.1</v>
      </c>
      <c r="Q61" s="6">
        <v>234.68</v>
      </c>
      <c r="R61" s="6">
        <v>156.46</v>
      </c>
      <c r="S61" s="6">
        <v>78.22</v>
      </c>
      <c r="T61" s="3" t="s">
        <v>48</v>
      </c>
    </row>
    <row r="62" spans="1:20">
      <c r="A62" s="3" t="s">
        <v>142</v>
      </c>
      <c r="B62" s="3" t="str">
        <f t="shared" si="0"/>
        <v>Jul</v>
      </c>
      <c r="C62" s="3" t="str">
        <f t="shared" si="1"/>
        <v>2025</v>
      </c>
      <c r="D62" s="3" t="str">
        <f t="shared" si="2"/>
        <v>Sunday</v>
      </c>
      <c r="E62" s="25">
        <v>45858</v>
      </c>
      <c r="F62" s="4" t="str">
        <f t="shared" si="3"/>
        <v>North</v>
      </c>
      <c r="G62" s="3" t="s">
        <v>50</v>
      </c>
      <c r="H62" s="3" t="s">
        <v>51</v>
      </c>
      <c r="I62" s="3" t="str">
        <f t="shared" si="4"/>
        <v>Online</v>
      </c>
      <c r="J62" s="3" t="s">
        <v>58</v>
      </c>
      <c r="K62" s="3" t="s">
        <v>69</v>
      </c>
      <c r="L62" s="3" t="str">
        <f t="shared" si="5"/>
        <v>Bookshelf</v>
      </c>
      <c r="M62" s="3" t="s">
        <v>70</v>
      </c>
      <c r="N62" s="5">
        <v>3</v>
      </c>
      <c r="O62" s="6">
        <v>95.6</v>
      </c>
      <c r="P62" s="7">
        <v>0</v>
      </c>
      <c r="Q62" s="6">
        <v>286.8</v>
      </c>
      <c r="R62" s="6">
        <v>149.13999999999999</v>
      </c>
      <c r="S62" s="6">
        <v>137.66</v>
      </c>
      <c r="T62" s="3" t="s">
        <v>88</v>
      </c>
    </row>
    <row r="63" spans="1:20">
      <c r="A63" s="3" t="s">
        <v>143</v>
      </c>
      <c r="B63" s="3" t="str">
        <f t="shared" si="0"/>
        <v>Apr</v>
      </c>
      <c r="C63" s="3" t="str">
        <f t="shared" si="1"/>
        <v>2026</v>
      </c>
      <c r="D63" s="3" t="str">
        <f t="shared" si="2"/>
        <v>Monday</v>
      </c>
      <c r="E63" s="25">
        <v>46125</v>
      </c>
      <c r="F63" s="4" t="str">
        <f t="shared" si="3"/>
        <v>East</v>
      </c>
      <c r="G63" s="3" t="s">
        <v>61</v>
      </c>
      <c r="H63" s="3" t="s">
        <v>62</v>
      </c>
      <c r="I63" s="3" t="str">
        <f t="shared" si="4"/>
        <v>Corporate</v>
      </c>
      <c r="J63" s="3" t="s">
        <v>72</v>
      </c>
      <c r="K63" s="3" t="s">
        <v>46</v>
      </c>
      <c r="L63" s="3" t="str">
        <f t="shared" si="5"/>
        <v>Usb-C Hub</v>
      </c>
      <c r="M63" s="3" t="s">
        <v>93</v>
      </c>
      <c r="N63" s="5">
        <v>9</v>
      </c>
      <c r="O63" s="6">
        <v>23.74</v>
      </c>
      <c r="P63" s="7">
        <v>0.1</v>
      </c>
      <c r="Q63" s="6">
        <v>192.29</v>
      </c>
      <c r="R63" s="6">
        <v>117.51</v>
      </c>
      <c r="S63" s="6">
        <v>74.78</v>
      </c>
      <c r="T63" s="3" t="s">
        <v>77</v>
      </c>
    </row>
    <row r="64" spans="1:20">
      <c r="A64" s="3" t="s">
        <v>144</v>
      </c>
      <c r="B64" s="3" t="str">
        <f t="shared" si="0"/>
        <v>Sep</v>
      </c>
      <c r="C64" s="3" t="str">
        <f t="shared" si="1"/>
        <v>2025</v>
      </c>
      <c r="D64" s="3" t="str">
        <f t="shared" si="2"/>
        <v>Friday</v>
      </c>
      <c r="E64" s="25">
        <v>45926</v>
      </c>
      <c r="F64" s="4" t="str">
        <f t="shared" si="3"/>
        <v>West</v>
      </c>
      <c r="G64" s="3" t="s">
        <v>67</v>
      </c>
      <c r="H64" s="3" t="s">
        <v>68</v>
      </c>
      <c r="I64" s="3" t="str">
        <f t="shared" si="4"/>
        <v>Corporate</v>
      </c>
      <c r="J64" s="3" t="s">
        <v>72</v>
      </c>
      <c r="K64" s="3" t="s">
        <v>52</v>
      </c>
      <c r="L64" s="3" t="str">
        <f t="shared" si="5"/>
        <v>Water Bottle</v>
      </c>
      <c r="M64" s="3" t="s">
        <v>53</v>
      </c>
      <c r="N64" s="5">
        <v>5</v>
      </c>
      <c r="O64" s="6">
        <v>11.23</v>
      </c>
      <c r="P64" s="7">
        <v>0.05</v>
      </c>
      <c r="Q64" s="6">
        <v>53.34</v>
      </c>
      <c r="R64" s="6">
        <v>24.14</v>
      </c>
      <c r="S64" s="6">
        <v>29.2</v>
      </c>
      <c r="T64" s="3" t="s">
        <v>77</v>
      </c>
    </row>
    <row r="65" spans="1:20">
      <c r="A65" s="3" t="s">
        <v>145</v>
      </c>
      <c r="B65" s="3" t="str">
        <f t="shared" si="0"/>
        <v>Oct</v>
      </c>
      <c r="C65" s="3" t="str">
        <f t="shared" si="1"/>
        <v>2026</v>
      </c>
      <c r="D65" s="3" t="str">
        <f t="shared" si="2"/>
        <v>Sunday</v>
      </c>
      <c r="E65" s="25">
        <v>46306</v>
      </c>
      <c r="F65" s="4" t="str">
        <f t="shared" si="3"/>
        <v>West</v>
      </c>
      <c r="G65" s="3" t="s">
        <v>67</v>
      </c>
      <c r="H65" s="3" t="s">
        <v>68</v>
      </c>
      <c r="I65" s="3" t="str">
        <f t="shared" si="4"/>
        <v>Wholesale</v>
      </c>
      <c r="J65" s="3" t="s">
        <v>45</v>
      </c>
      <c r="K65" s="3" t="s">
        <v>46</v>
      </c>
      <c r="L65" s="3" t="str">
        <f t="shared" si="5"/>
        <v>Usb-C Hub</v>
      </c>
      <c r="M65" s="3" t="s">
        <v>93</v>
      </c>
      <c r="N65" s="5">
        <v>6</v>
      </c>
      <c r="O65" s="6">
        <v>24.58</v>
      </c>
      <c r="P65" s="7">
        <v>0.05</v>
      </c>
      <c r="Q65" s="6">
        <v>140.11000000000001</v>
      </c>
      <c r="R65" s="6">
        <v>81.11</v>
      </c>
      <c r="S65" s="6">
        <v>59</v>
      </c>
      <c r="T65" s="3" t="s">
        <v>54</v>
      </c>
    </row>
    <row r="66" spans="1:20">
      <c r="A66" s="3" t="s">
        <v>146</v>
      </c>
      <c r="B66" s="3" t="str">
        <f t="shared" ref="B66:B129" si="6">TEXT(E:E,"mmm")</f>
        <v>Aug</v>
      </c>
      <c r="C66" s="3" t="str">
        <f t="shared" ref="C66:C129" si="7">TEXT(E:E,"YYYY")</f>
        <v>2025</v>
      </c>
      <c r="D66" s="3" t="str">
        <f t="shared" ref="D66:D129" si="8">TEXT(E:E,"DDDD")</f>
        <v>Monday</v>
      </c>
      <c r="E66" s="25">
        <v>45887</v>
      </c>
      <c r="F66" s="4" t="str">
        <f t="shared" ref="F66:F129" si="9">PROPER(G:G)</f>
        <v>East</v>
      </c>
      <c r="G66" s="3" t="s">
        <v>61</v>
      </c>
      <c r="H66" s="3" t="s">
        <v>62</v>
      </c>
      <c r="I66" s="3" t="str">
        <f t="shared" ref="I66:I129" si="10">PROPER(J:J)</f>
        <v>Wholesale</v>
      </c>
      <c r="J66" s="3" t="s">
        <v>45</v>
      </c>
      <c r="K66" s="3" t="s">
        <v>52</v>
      </c>
      <c r="L66" s="3" t="str">
        <f t="shared" ref="L66:L129" si="11">PROPER(TRIM(M:M))</f>
        <v>Keyboard Cover</v>
      </c>
      <c r="M66" s="3" t="s">
        <v>59</v>
      </c>
      <c r="N66" s="5">
        <v>8</v>
      </c>
      <c r="O66" s="6">
        <v>10.71</v>
      </c>
      <c r="P66" s="7">
        <v>0.05</v>
      </c>
      <c r="Q66" s="6">
        <v>81.400000000000006</v>
      </c>
      <c r="R66" s="6">
        <v>35.130000000000003</v>
      </c>
      <c r="S66" s="6">
        <v>46.27</v>
      </c>
      <c r="T66" s="3" t="s">
        <v>77</v>
      </c>
    </row>
    <row r="67" spans="1:20">
      <c r="A67" s="3" t="s">
        <v>147</v>
      </c>
      <c r="B67" s="3" t="str">
        <f t="shared" si="6"/>
        <v>Sep</v>
      </c>
      <c r="C67" s="3" t="str">
        <f t="shared" si="7"/>
        <v>2026</v>
      </c>
      <c r="D67" s="3" t="str">
        <f t="shared" si="8"/>
        <v>Saturday</v>
      </c>
      <c r="E67" s="25">
        <v>46291</v>
      </c>
      <c r="F67" s="4" t="str">
        <f t="shared" si="9"/>
        <v>South</v>
      </c>
      <c r="G67" s="3" t="s">
        <v>56</v>
      </c>
      <c r="H67" s="3" t="s">
        <v>57</v>
      </c>
      <c r="I67" s="3" t="str">
        <f t="shared" si="10"/>
        <v>Retail</v>
      </c>
      <c r="J67" s="3" t="s">
        <v>90</v>
      </c>
      <c r="K67" s="3" t="s">
        <v>84</v>
      </c>
      <c r="L67" s="3" t="str">
        <f t="shared" si="11"/>
        <v>Printer Paper</v>
      </c>
      <c r="M67" s="3" t="s">
        <v>96</v>
      </c>
      <c r="N67" s="5">
        <v>1</v>
      </c>
      <c r="O67" s="6">
        <v>11.4</v>
      </c>
      <c r="P67" s="7">
        <v>0</v>
      </c>
      <c r="Q67" s="6">
        <v>11.4</v>
      </c>
      <c r="R67" s="6">
        <v>4.33</v>
      </c>
      <c r="S67" s="6">
        <v>7.07</v>
      </c>
      <c r="T67" s="3" t="s">
        <v>88</v>
      </c>
    </row>
    <row r="68" spans="1:20">
      <c r="A68" s="3" t="s">
        <v>148</v>
      </c>
      <c r="B68" s="3" t="str">
        <f t="shared" si="6"/>
        <v>Jul</v>
      </c>
      <c r="C68" s="3" t="str">
        <f t="shared" si="7"/>
        <v>2025</v>
      </c>
      <c r="D68" s="3" t="str">
        <f t="shared" si="8"/>
        <v>Saturday</v>
      </c>
      <c r="E68" s="25">
        <v>45864</v>
      </c>
      <c r="F68" s="4" t="str">
        <f t="shared" si="9"/>
        <v>South</v>
      </c>
      <c r="G68" s="3" t="s">
        <v>56</v>
      </c>
      <c r="H68" s="3" t="s">
        <v>57</v>
      </c>
      <c r="I68" s="3" t="str">
        <f t="shared" si="10"/>
        <v>Online</v>
      </c>
      <c r="J68" s="3" t="s">
        <v>58</v>
      </c>
      <c r="K68" s="3" t="s">
        <v>84</v>
      </c>
      <c r="L68" s="3" t="str">
        <f t="shared" si="11"/>
        <v>Printer Paper</v>
      </c>
      <c r="M68" s="3" t="s">
        <v>96</v>
      </c>
      <c r="N68" s="5">
        <v>8</v>
      </c>
      <c r="O68" s="6">
        <v>12.11</v>
      </c>
      <c r="P68" s="7">
        <v>0.15</v>
      </c>
      <c r="Q68" s="6">
        <v>82.35</v>
      </c>
      <c r="R68" s="6">
        <v>36.81</v>
      </c>
      <c r="S68" s="6">
        <v>45.54</v>
      </c>
      <c r="T68" s="3" t="s">
        <v>65</v>
      </c>
    </row>
    <row r="69" spans="1:20">
      <c r="A69" s="3" t="s">
        <v>149</v>
      </c>
      <c r="B69" s="3" t="str">
        <f t="shared" si="6"/>
        <v>Sep</v>
      </c>
      <c r="C69" s="3" t="str">
        <f t="shared" si="7"/>
        <v>2026</v>
      </c>
      <c r="D69" s="3" t="str">
        <f t="shared" si="8"/>
        <v>Friday</v>
      </c>
      <c r="E69" s="25">
        <v>46283</v>
      </c>
      <c r="F69" s="4" t="str">
        <f t="shared" si="9"/>
        <v>South</v>
      </c>
      <c r="G69" s="3" t="s">
        <v>56</v>
      </c>
      <c r="H69" s="3" t="s">
        <v>57</v>
      </c>
      <c r="I69" s="3" t="str">
        <f t="shared" si="10"/>
        <v>Corporate</v>
      </c>
      <c r="J69" s="3" t="s">
        <v>72</v>
      </c>
      <c r="K69" s="3" t="s">
        <v>84</v>
      </c>
      <c r="L69" s="3" t="str">
        <f t="shared" si="11"/>
        <v>Notebook Set</v>
      </c>
      <c r="M69" s="3" t="s">
        <v>85</v>
      </c>
      <c r="N69" s="5">
        <v>3</v>
      </c>
      <c r="O69" s="6">
        <v>9.18</v>
      </c>
      <c r="P69" s="7">
        <v>0</v>
      </c>
      <c r="Q69" s="6">
        <v>27.54</v>
      </c>
      <c r="R69" s="6">
        <v>11.02</v>
      </c>
      <c r="S69" s="6">
        <v>16.52</v>
      </c>
      <c r="T69" s="3" t="s">
        <v>48</v>
      </c>
    </row>
    <row r="70" spans="1:20">
      <c r="A70" s="3" t="s">
        <v>150</v>
      </c>
      <c r="B70" s="3" t="str">
        <f t="shared" si="6"/>
        <v>Apr</v>
      </c>
      <c r="C70" s="3" t="str">
        <f t="shared" si="7"/>
        <v>2025</v>
      </c>
      <c r="D70" s="3" t="str">
        <f t="shared" si="8"/>
        <v>Monday</v>
      </c>
      <c r="E70" s="25">
        <v>45754</v>
      </c>
      <c r="F70" s="4" t="str">
        <f t="shared" si="9"/>
        <v>Central</v>
      </c>
      <c r="G70" s="3" t="s">
        <v>74</v>
      </c>
      <c r="H70" s="3" t="s">
        <v>44</v>
      </c>
      <c r="I70" s="3" t="str">
        <f t="shared" si="10"/>
        <v>Retail</v>
      </c>
      <c r="J70" s="3" t="s">
        <v>90</v>
      </c>
      <c r="K70" s="3" t="s">
        <v>69</v>
      </c>
      <c r="L70" s="3" t="str">
        <f t="shared" si="11"/>
        <v>Bookshelf</v>
      </c>
      <c r="M70" s="3" t="s">
        <v>70</v>
      </c>
      <c r="N70" s="5">
        <v>6</v>
      </c>
      <c r="O70" s="6">
        <v>94.54</v>
      </c>
      <c r="P70" s="7">
        <v>0.1</v>
      </c>
      <c r="Q70" s="6">
        <v>510.52</v>
      </c>
      <c r="R70" s="6">
        <v>294.95999999999998</v>
      </c>
      <c r="S70" s="6">
        <v>215.56</v>
      </c>
      <c r="T70" s="3" t="s">
        <v>63</v>
      </c>
    </row>
    <row r="71" spans="1:20">
      <c r="A71" s="3" t="s">
        <v>151</v>
      </c>
      <c r="B71" s="3" t="str">
        <f t="shared" si="6"/>
        <v>Mar</v>
      </c>
      <c r="C71" s="3" t="str">
        <f t="shared" si="7"/>
        <v>2026</v>
      </c>
      <c r="D71" s="3" t="str">
        <f t="shared" si="8"/>
        <v>Saturday</v>
      </c>
      <c r="E71" s="25">
        <v>46102</v>
      </c>
      <c r="F71" s="4" t="str">
        <f t="shared" si="9"/>
        <v>West</v>
      </c>
      <c r="G71" s="3" t="s">
        <v>67</v>
      </c>
      <c r="H71" s="3" t="s">
        <v>68</v>
      </c>
      <c r="I71" s="3" t="str">
        <f t="shared" si="10"/>
        <v>Corporate</v>
      </c>
      <c r="J71" s="3" t="s">
        <v>72</v>
      </c>
      <c r="K71" s="3" t="s">
        <v>46</v>
      </c>
      <c r="L71" s="3" t="str">
        <f t="shared" si="11"/>
        <v>Laptop Stand</v>
      </c>
      <c r="M71" s="3" t="s">
        <v>116</v>
      </c>
      <c r="N71" s="5">
        <v>8</v>
      </c>
      <c r="O71" s="6">
        <v>22.56</v>
      </c>
      <c r="P71" s="7">
        <v>0.1</v>
      </c>
      <c r="Q71" s="6">
        <v>162.43</v>
      </c>
      <c r="R71" s="6">
        <v>90.24</v>
      </c>
      <c r="S71" s="6">
        <v>72.19</v>
      </c>
      <c r="T71" s="3" t="s">
        <v>63</v>
      </c>
    </row>
    <row r="72" spans="1:20">
      <c r="A72" s="3" t="s">
        <v>152</v>
      </c>
      <c r="B72" s="3" t="str">
        <f t="shared" si="6"/>
        <v>Oct</v>
      </c>
      <c r="C72" s="3" t="str">
        <f t="shared" si="7"/>
        <v>2025</v>
      </c>
      <c r="D72" s="3" t="str">
        <f t="shared" si="8"/>
        <v>Sunday</v>
      </c>
      <c r="E72" s="25">
        <v>45956</v>
      </c>
      <c r="F72" s="4" t="str">
        <f t="shared" si="9"/>
        <v>East</v>
      </c>
      <c r="G72" s="3" t="s">
        <v>61</v>
      </c>
      <c r="H72" s="3" t="s">
        <v>62</v>
      </c>
      <c r="I72" s="3" t="str">
        <f t="shared" si="10"/>
        <v>Retail</v>
      </c>
      <c r="J72" s="3" t="s">
        <v>90</v>
      </c>
      <c r="K72" s="3" t="s">
        <v>46</v>
      </c>
      <c r="L72" s="3" t="str">
        <f t="shared" si="11"/>
        <v>Usb-C Hub</v>
      </c>
      <c r="M72" s="3" t="s">
        <v>93</v>
      </c>
      <c r="N72" s="5">
        <v>5</v>
      </c>
      <c r="O72" s="6">
        <v>25.79</v>
      </c>
      <c r="P72" s="7">
        <v>0.05</v>
      </c>
      <c r="Q72" s="6">
        <v>122.5</v>
      </c>
      <c r="R72" s="6">
        <v>70.92</v>
      </c>
      <c r="S72" s="6">
        <v>51.58</v>
      </c>
      <c r="T72" s="3" t="s">
        <v>48</v>
      </c>
    </row>
    <row r="73" spans="1:20">
      <c r="A73" s="3" t="s">
        <v>153</v>
      </c>
      <c r="B73" s="3" t="str">
        <f t="shared" si="6"/>
        <v>Jan</v>
      </c>
      <c r="C73" s="3" t="str">
        <f t="shared" si="7"/>
        <v>2026</v>
      </c>
      <c r="D73" s="3" t="str">
        <f t="shared" si="8"/>
        <v>Friday</v>
      </c>
      <c r="E73" s="25">
        <v>46024</v>
      </c>
      <c r="F73" s="4" t="str">
        <f t="shared" si="9"/>
        <v>East</v>
      </c>
      <c r="G73" s="3" t="s">
        <v>61</v>
      </c>
      <c r="H73" s="3" t="s">
        <v>62</v>
      </c>
      <c r="I73" s="3" t="str">
        <f t="shared" si="10"/>
        <v>Online</v>
      </c>
      <c r="J73" s="3" t="s">
        <v>58</v>
      </c>
      <c r="K73" s="3" t="s">
        <v>69</v>
      </c>
      <c r="L73" s="3" t="str">
        <f t="shared" si="11"/>
        <v>Standing Desk</v>
      </c>
      <c r="M73" s="3" t="s">
        <v>81</v>
      </c>
      <c r="N73" s="5">
        <v>2</v>
      </c>
      <c r="O73" s="6">
        <v>259.04000000000002</v>
      </c>
      <c r="P73" s="7">
        <v>0</v>
      </c>
      <c r="Q73" s="6">
        <v>518.08000000000004</v>
      </c>
      <c r="R73" s="6">
        <v>310.85000000000002</v>
      </c>
      <c r="S73" s="6">
        <v>207.23</v>
      </c>
      <c r="T73" s="3" t="s">
        <v>88</v>
      </c>
    </row>
    <row r="74" spans="1:20">
      <c r="A74" s="3" t="s">
        <v>154</v>
      </c>
      <c r="B74" s="3" t="str">
        <f t="shared" si="6"/>
        <v>Feb</v>
      </c>
      <c r="C74" s="3" t="str">
        <f t="shared" si="7"/>
        <v>2025</v>
      </c>
      <c r="D74" s="3" t="str">
        <f t="shared" si="8"/>
        <v>Sunday</v>
      </c>
      <c r="E74" s="25">
        <v>45704</v>
      </c>
      <c r="F74" s="4" t="str">
        <f t="shared" si="9"/>
        <v>South</v>
      </c>
      <c r="G74" s="3" t="s">
        <v>56</v>
      </c>
      <c r="H74" s="3" t="s">
        <v>57</v>
      </c>
      <c r="I74" s="3" t="str">
        <f t="shared" si="10"/>
        <v>Retail</v>
      </c>
      <c r="J74" s="3" t="s">
        <v>90</v>
      </c>
      <c r="K74" s="3" t="s">
        <v>69</v>
      </c>
      <c r="L74" s="3" t="str">
        <f t="shared" si="11"/>
        <v>Bookshelf</v>
      </c>
      <c r="M74" s="3" t="s">
        <v>70</v>
      </c>
      <c r="N74" s="5">
        <v>3</v>
      </c>
      <c r="O74" s="6">
        <v>95.5</v>
      </c>
      <c r="P74" s="7">
        <v>0.15</v>
      </c>
      <c r="Q74" s="6">
        <v>243.53</v>
      </c>
      <c r="R74" s="6">
        <v>148.97999999999999</v>
      </c>
      <c r="S74" s="6">
        <v>94.55</v>
      </c>
      <c r="T74" s="3" t="s">
        <v>48</v>
      </c>
    </row>
    <row r="75" spans="1:20">
      <c r="A75" s="3" t="s">
        <v>155</v>
      </c>
      <c r="B75" s="3" t="str">
        <f t="shared" si="6"/>
        <v>May</v>
      </c>
      <c r="C75" s="3" t="str">
        <f t="shared" si="7"/>
        <v>2026</v>
      </c>
      <c r="D75" s="3" t="str">
        <f t="shared" si="8"/>
        <v>Saturday</v>
      </c>
      <c r="E75" s="25">
        <v>46158</v>
      </c>
      <c r="F75" s="4" t="str">
        <f t="shared" si="9"/>
        <v>South</v>
      </c>
      <c r="G75" s="3" t="s">
        <v>56</v>
      </c>
      <c r="H75" s="3" t="s">
        <v>57</v>
      </c>
      <c r="I75" s="3" t="str">
        <f t="shared" si="10"/>
        <v>Corporate</v>
      </c>
      <c r="J75" s="3" t="s">
        <v>72</v>
      </c>
      <c r="K75" s="3" t="s">
        <v>84</v>
      </c>
      <c r="L75" s="3" t="str">
        <f t="shared" si="11"/>
        <v>Notebook Set</v>
      </c>
      <c r="M75" s="3" t="s">
        <v>85</v>
      </c>
      <c r="N75" s="5">
        <v>11</v>
      </c>
      <c r="O75" s="6">
        <v>9.67</v>
      </c>
      <c r="P75" s="7">
        <v>0.15</v>
      </c>
      <c r="Q75" s="6">
        <v>90.41</v>
      </c>
      <c r="R75" s="6">
        <v>42.55</v>
      </c>
      <c r="S75" s="6">
        <v>47.86</v>
      </c>
      <c r="T75" s="3" t="s">
        <v>54</v>
      </c>
    </row>
    <row r="76" spans="1:20">
      <c r="A76" s="3" t="s">
        <v>156</v>
      </c>
      <c r="B76" s="3" t="str">
        <f t="shared" si="6"/>
        <v>Jun</v>
      </c>
      <c r="C76" s="3" t="str">
        <f t="shared" si="7"/>
        <v>2025</v>
      </c>
      <c r="D76" s="3" t="str">
        <f t="shared" si="8"/>
        <v>Friday</v>
      </c>
      <c r="E76" s="25">
        <v>45835</v>
      </c>
      <c r="F76" s="4" t="str">
        <f t="shared" si="9"/>
        <v>Central</v>
      </c>
      <c r="G76" s="3" t="s">
        <v>74</v>
      </c>
      <c r="H76" s="3" t="s">
        <v>44</v>
      </c>
      <c r="I76" s="3" t="str">
        <f t="shared" si="10"/>
        <v>Online</v>
      </c>
      <c r="J76" s="3" t="s">
        <v>58</v>
      </c>
      <c r="K76" s="3" t="s">
        <v>52</v>
      </c>
      <c r="L76" s="3" t="str">
        <f t="shared" si="11"/>
        <v>Keyboard Cover</v>
      </c>
      <c r="M76" s="3" t="s">
        <v>59</v>
      </c>
      <c r="N76" s="5">
        <v>9</v>
      </c>
      <c r="O76" s="6">
        <v>13.9</v>
      </c>
      <c r="P76" s="7">
        <v>0.15</v>
      </c>
      <c r="Q76" s="6">
        <v>106.34</v>
      </c>
      <c r="R76" s="6">
        <v>51.29</v>
      </c>
      <c r="S76" s="6">
        <v>55.05</v>
      </c>
      <c r="T76" s="3" t="s">
        <v>65</v>
      </c>
    </row>
    <row r="77" spans="1:20">
      <c r="A77" s="3" t="s">
        <v>157</v>
      </c>
      <c r="B77" s="3" t="str">
        <f t="shared" si="6"/>
        <v>Feb</v>
      </c>
      <c r="C77" s="3" t="str">
        <f t="shared" si="7"/>
        <v>2026</v>
      </c>
      <c r="D77" s="3" t="str">
        <f t="shared" si="8"/>
        <v>Friday</v>
      </c>
      <c r="E77" s="25">
        <v>46080</v>
      </c>
      <c r="F77" s="4" t="str">
        <f t="shared" si="9"/>
        <v>West</v>
      </c>
      <c r="G77" s="3" t="s">
        <v>67</v>
      </c>
      <c r="H77" s="3" t="s">
        <v>68</v>
      </c>
      <c r="I77" s="3" t="str">
        <f t="shared" si="10"/>
        <v>Corporate</v>
      </c>
      <c r="J77" s="3" t="s">
        <v>72</v>
      </c>
      <c r="K77" s="3" t="s">
        <v>52</v>
      </c>
      <c r="L77" s="3" t="str">
        <f t="shared" si="11"/>
        <v>Water Bottle</v>
      </c>
      <c r="M77" s="3" t="s">
        <v>53</v>
      </c>
      <c r="N77" s="5">
        <v>8</v>
      </c>
      <c r="O77" s="6">
        <v>9.39</v>
      </c>
      <c r="P77" s="7">
        <v>0</v>
      </c>
      <c r="Q77" s="6">
        <v>75.12</v>
      </c>
      <c r="R77" s="6">
        <v>32.299999999999997</v>
      </c>
      <c r="S77" s="6">
        <v>42.82</v>
      </c>
      <c r="T77" s="3" t="s">
        <v>77</v>
      </c>
    </row>
    <row r="78" spans="1:20">
      <c r="A78" s="3" t="s">
        <v>158</v>
      </c>
      <c r="B78" s="3" t="str">
        <f t="shared" si="6"/>
        <v>Apr</v>
      </c>
      <c r="C78" s="3" t="str">
        <f t="shared" si="7"/>
        <v>2025</v>
      </c>
      <c r="D78" s="3" t="str">
        <f t="shared" si="8"/>
        <v>Sunday</v>
      </c>
      <c r="E78" s="25">
        <v>45767</v>
      </c>
      <c r="F78" s="4" t="str">
        <f t="shared" si="9"/>
        <v>North</v>
      </c>
      <c r="G78" s="3" t="s">
        <v>50</v>
      </c>
      <c r="H78" s="3" t="s">
        <v>51</v>
      </c>
      <c r="I78" s="3" t="str">
        <f t="shared" si="10"/>
        <v>Wholesale</v>
      </c>
      <c r="J78" s="3" t="s">
        <v>45</v>
      </c>
      <c r="K78" s="3" t="s">
        <v>69</v>
      </c>
      <c r="L78" s="3" t="str">
        <f t="shared" si="11"/>
        <v>Standing Desk</v>
      </c>
      <c r="M78" s="3" t="s">
        <v>81</v>
      </c>
      <c r="N78" s="5">
        <v>9</v>
      </c>
      <c r="O78" s="6">
        <v>258.5</v>
      </c>
      <c r="P78" s="7">
        <v>0</v>
      </c>
      <c r="Q78" s="6">
        <v>2326.5</v>
      </c>
      <c r="R78" s="6">
        <v>1395.9</v>
      </c>
      <c r="S78" s="6">
        <v>930.6</v>
      </c>
      <c r="T78" s="3" t="s">
        <v>48</v>
      </c>
    </row>
    <row r="79" spans="1:20">
      <c r="A79" s="3" t="s">
        <v>159</v>
      </c>
      <c r="B79" s="3" t="str">
        <f t="shared" si="6"/>
        <v>Dec</v>
      </c>
      <c r="C79" s="3" t="str">
        <f t="shared" si="7"/>
        <v>2026</v>
      </c>
      <c r="D79" s="3" t="str">
        <f t="shared" si="8"/>
        <v>Friday</v>
      </c>
      <c r="E79" s="25">
        <v>46374</v>
      </c>
      <c r="F79" s="4" t="str">
        <f t="shared" si="9"/>
        <v>Central</v>
      </c>
      <c r="G79" s="3" t="s">
        <v>74</v>
      </c>
      <c r="H79" s="3" t="s">
        <v>44</v>
      </c>
      <c r="I79" s="3" t="str">
        <f t="shared" si="10"/>
        <v>Wholesale</v>
      </c>
      <c r="J79" s="3" t="s">
        <v>45</v>
      </c>
      <c r="K79" s="3" t="s">
        <v>52</v>
      </c>
      <c r="L79" s="3" t="str">
        <f t="shared" si="11"/>
        <v>Water Bottle</v>
      </c>
      <c r="M79" s="3" t="s">
        <v>53</v>
      </c>
      <c r="N79" s="5">
        <v>7</v>
      </c>
      <c r="O79" s="6">
        <v>8.2799999999999994</v>
      </c>
      <c r="P79" s="7">
        <v>0.05</v>
      </c>
      <c r="Q79" s="6">
        <v>55.06</v>
      </c>
      <c r="R79" s="6">
        <v>24.92</v>
      </c>
      <c r="S79" s="6">
        <v>30.14</v>
      </c>
      <c r="T79" s="3" t="s">
        <v>48</v>
      </c>
    </row>
    <row r="80" spans="1:20">
      <c r="A80" s="3" t="s">
        <v>160</v>
      </c>
      <c r="B80" s="3" t="str">
        <f t="shared" si="6"/>
        <v>May</v>
      </c>
      <c r="C80" s="3" t="str">
        <f t="shared" si="7"/>
        <v>2025</v>
      </c>
      <c r="D80" s="3" t="str">
        <f t="shared" si="8"/>
        <v>Friday</v>
      </c>
      <c r="E80" s="25">
        <v>45779</v>
      </c>
      <c r="F80" s="4" t="str">
        <f t="shared" si="9"/>
        <v>South</v>
      </c>
      <c r="G80" s="3" t="s">
        <v>56</v>
      </c>
      <c r="H80" s="3" t="s">
        <v>57</v>
      </c>
      <c r="I80" s="3" t="str">
        <f t="shared" si="10"/>
        <v>Online</v>
      </c>
      <c r="J80" s="3" t="s">
        <v>58</v>
      </c>
      <c r="K80" s="3" t="s">
        <v>69</v>
      </c>
      <c r="L80" s="3" t="str">
        <f t="shared" si="11"/>
        <v>Standing Desk</v>
      </c>
      <c r="M80" s="3" t="s">
        <v>81</v>
      </c>
      <c r="N80" s="5">
        <v>12</v>
      </c>
      <c r="O80" s="6">
        <v>261.44</v>
      </c>
      <c r="P80" s="7">
        <v>0.1</v>
      </c>
      <c r="Q80" s="6">
        <v>2823.55</v>
      </c>
      <c r="R80" s="6">
        <v>1882.37</v>
      </c>
      <c r="S80" s="6">
        <v>941.18</v>
      </c>
      <c r="T80" s="3" t="s">
        <v>77</v>
      </c>
    </row>
    <row r="81" spans="1:20">
      <c r="A81" s="3" t="s">
        <v>161</v>
      </c>
      <c r="B81" s="3" t="str">
        <f t="shared" si="6"/>
        <v>Dec</v>
      </c>
      <c r="C81" s="3" t="str">
        <f t="shared" si="7"/>
        <v>2026</v>
      </c>
      <c r="D81" s="3" t="str">
        <f t="shared" si="8"/>
        <v>Thursday</v>
      </c>
      <c r="E81" s="25">
        <v>46359</v>
      </c>
      <c r="F81" s="4" t="str">
        <f t="shared" si="9"/>
        <v>West</v>
      </c>
      <c r="G81" s="3" t="s">
        <v>67</v>
      </c>
      <c r="H81" s="3" t="s">
        <v>68</v>
      </c>
      <c r="I81" s="3" t="str">
        <f t="shared" si="10"/>
        <v>Wholesale</v>
      </c>
      <c r="J81" s="3" t="s">
        <v>45</v>
      </c>
      <c r="K81" s="3" t="s">
        <v>46</v>
      </c>
      <c r="L81" s="3" t="str">
        <f t="shared" si="11"/>
        <v>Usb-C Hub</v>
      </c>
      <c r="M81" s="3" t="s">
        <v>93</v>
      </c>
      <c r="N81" s="5">
        <v>7</v>
      </c>
      <c r="O81" s="6">
        <v>26.82</v>
      </c>
      <c r="P81" s="7">
        <v>0.05</v>
      </c>
      <c r="Q81" s="6">
        <v>178.35</v>
      </c>
      <c r="R81" s="6">
        <v>103.26</v>
      </c>
      <c r="S81" s="6">
        <v>75.09</v>
      </c>
      <c r="T81" s="3" t="s">
        <v>88</v>
      </c>
    </row>
    <row r="82" spans="1:20">
      <c r="A82" s="3" t="s">
        <v>162</v>
      </c>
      <c r="B82" s="3" t="str">
        <f t="shared" si="6"/>
        <v>Feb</v>
      </c>
      <c r="C82" s="3" t="str">
        <f t="shared" si="7"/>
        <v>2025</v>
      </c>
      <c r="D82" s="3" t="str">
        <f t="shared" si="8"/>
        <v>Friday</v>
      </c>
      <c r="E82" s="25">
        <v>45695</v>
      </c>
      <c r="F82" s="4" t="str">
        <f t="shared" si="9"/>
        <v>West</v>
      </c>
      <c r="G82" s="3" t="s">
        <v>67</v>
      </c>
      <c r="H82" s="3" t="s">
        <v>68</v>
      </c>
      <c r="I82" s="3" t="str">
        <f t="shared" si="10"/>
        <v>Online</v>
      </c>
      <c r="J82" s="3" t="s">
        <v>58</v>
      </c>
      <c r="K82" s="3" t="s">
        <v>69</v>
      </c>
      <c r="L82" s="3" t="str">
        <f t="shared" si="11"/>
        <v>Ergonomic Chair</v>
      </c>
      <c r="M82" s="3" t="s">
        <v>79</v>
      </c>
      <c r="N82" s="5">
        <v>12</v>
      </c>
      <c r="O82" s="6">
        <v>141.94999999999999</v>
      </c>
      <c r="P82" s="7">
        <v>0.15</v>
      </c>
      <c r="Q82" s="6">
        <v>1447.89</v>
      </c>
      <c r="R82" s="6">
        <v>987.97</v>
      </c>
      <c r="S82" s="6">
        <v>459.92</v>
      </c>
      <c r="T82" s="3" t="s">
        <v>54</v>
      </c>
    </row>
    <row r="83" spans="1:20">
      <c r="A83" s="3" t="s">
        <v>163</v>
      </c>
      <c r="B83" s="3" t="str">
        <f t="shared" si="6"/>
        <v>Feb</v>
      </c>
      <c r="C83" s="3" t="str">
        <f t="shared" si="7"/>
        <v>2026</v>
      </c>
      <c r="D83" s="3" t="str">
        <f t="shared" si="8"/>
        <v>Tuesday</v>
      </c>
      <c r="E83" s="25">
        <v>46056</v>
      </c>
      <c r="F83" s="4" t="str">
        <f t="shared" si="9"/>
        <v>South</v>
      </c>
      <c r="G83" s="3" t="s">
        <v>56</v>
      </c>
      <c r="H83" s="3" t="s">
        <v>57</v>
      </c>
      <c r="I83" s="3" t="str">
        <f t="shared" si="10"/>
        <v>Corporate</v>
      </c>
      <c r="J83" s="3" t="s">
        <v>72</v>
      </c>
      <c r="K83" s="3" t="s">
        <v>52</v>
      </c>
      <c r="L83" s="3" t="str">
        <f t="shared" si="11"/>
        <v>Keyboard Cover</v>
      </c>
      <c r="M83" s="3" t="s">
        <v>59</v>
      </c>
      <c r="N83" s="5">
        <v>1</v>
      </c>
      <c r="O83" s="6">
        <v>10.87</v>
      </c>
      <c r="P83" s="7">
        <v>0.05</v>
      </c>
      <c r="Q83" s="6">
        <v>10.33</v>
      </c>
      <c r="R83" s="6">
        <v>4.46</v>
      </c>
      <c r="S83" s="6">
        <v>5.87</v>
      </c>
      <c r="T83" s="3" t="s">
        <v>77</v>
      </c>
    </row>
    <row r="84" spans="1:20">
      <c r="A84" s="3" t="s">
        <v>164</v>
      </c>
      <c r="B84" s="3" t="str">
        <f t="shared" si="6"/>
        <v>Jan</v>
      </c>
      <c r="C84" s="3" t="str">
        <f t="shared" si="7"/>
        <v>2025</v>
      </c>
      <c r="D84" s="3" t="str">
        <f t="shared" si="8"/>
        <v>Tuesday</v>
      </c>
      <c r="E84" s="25">
        <v>45685</v>
      </c>
      <c r="F84" s="4" t="str">
        <f t="shared" si="9"/>
        <v>South</v>
      </c>
      <c r="G84" s="3" t="s">
        <v>165</v>
      </c>
      <c r="H84" s="3" t="s">
        <v>57</v>
      </c>
      <c r="I84" s="3" t="str">
        <f t="shared" si="10"/>
        <v>Wholesale</v>
      </c>
      <c r="J84" s="3" t="s">
        <v>45</v>
      </c>
      <c r="K84" s="3" t="s">
        <v>84</v>
      </c>
      <c r="L84" s="3" t="str">
        <f t="shared" si="11"/>
        <v>Notebook Set</v>
      </c>
      <c r="M84" s="3" t="s">
        <v>85</v>
      </c>
      <c r="N84" s="5">
        <v>11</v>
      </c>
      <c r="O84" s="6">
        <v>8.49</v>
      </c>
      <c r="P84" s="7">
        <v>0.05</v>
      </c>
      <c r="Q84" s="6">
        <v>88.72</v>
      </c>
      <c r="R84" s="6">
        <v>37.36</v>
      </c>
      <c r="S84" s="6">
        <v>51.36</v>
      </c>
      <c r="T84" s="3" t="s">
        <v>88</v>
      </c>
    </row>
    <row r="85" spans="1:20">
      <c r="A85" s="3" t="s">
        <v>166</v>
      </c>
      <c r="B85" s="3" t="str">
        <f t="shared" si="6"/>
        <v>Apr</v>
      </c>
      <c r="C85" s="3" t="str">
        <f t="shared" si="7"/>
        <v>2026</v>
      </c>
      <c r="D85" s="3" t="str">
        <f t="shared" si="8"/>
        <v>Tuesday</v>
      </c>
      <c r="E85" s="25">
        <v>46126</v>
      </c>
      <c r="F85" s="4" t="str">
        <f t="shared" si="9"/>
        <v>West</v>
      </c>
      <c r="G85" s="3" t="s">
        <v>67</v>
      </c>
      <c r="H85" s="3" t="s">
        <v>68</v>
      </c>
      <c r="I85" s="3" t="str">
        <f t="shared" si="10"/>
        <v>Online</v>
      </c>
      <c r="J85" s="3" t="s">
        <v>58</v>
      </c>
      <c r="K85" s="3" t="s">
        <v>52</v>
      </c>
      <c r="L85" s="3" t="str">
        <f t="shared" si="11"/>
        <v>Keyboard Cover</v>
      </c>
      <c r="M85" s="3" t="s">
        <v>59</v>
      </c>
      <c r="N85" s="5">
        <v>8</v>
      </c>
      <c r="O85" s="6">
        <v>12.79</v>
      </c>
      <c r="P85" s="7">
        <v>0</v>
      </c>
      <c r="Q85" s="6">
        <v>102.32</v>
      </c>
      <c r="R85" s="6">
        <v>41.95</v>
      </c>
      <c r="S85" s="6">
        <v>60.37</v>
      </c>
      <c r="T85" s="3" t="s">
        <v>63</v>
      </c>
    </row>
    <row r="86" spans="1:20">
      <c r="A86" s="3" t="s">
        <v>167</v>
      </c>
      <c r="B86" s="3" t="str">
        <f t="shared" si="6"/>
        <v>Jun</v>
      </c>
      <c r="C86" s="3" t="str">
        <f t="shared" si="7"/>
        <v>2025</v>
      </c>
      <c r="D86" s="3" t="str">
        <f t="shared" si="8"/>
        <v>Saturday</v>
      </c>
      <c r="E86" s="25">
        <v>45836</v>
      </c>
      <c r="F86" s="4" t="str">
        <f t="shared" si="9"/>
        <v>West</v>
      </c>
      <c r="G86" s="3" t="s">
        <v>67</v>
      </c>
      <c r="H86" s="3" t="s">
        <v>68</v>
      </c>
      <c r="I86" s="3" t="str">
        <f t="shared" si="10"/>
        <v>Corporate</v>
      </c>
      <c r="J86" s="3" t="s">
        <v>72</v>
      </c>
      <c r="K86" s="3" t="s">
        <v>52</v>
      </c>
      <c r="L86" s="3" t="str">
        <f t="shared" si="11"/>
        <v>Water Bottle</v>
      </c>
      <c r="M86" s="3" t="s">
        <v>53</v>
      </c>
      <c r="N86" s="5">
        <v>9</v>
      </c>
      <c r="O86" s="6">
        <v>8.7100000000000009</v>
      </c>
      <c r="P86" s="7">
        <v>0.05</v>
      </c>
      <c r="Q86" s="6">
        <v>74.47</v>
      </c>
      <c r="R86" s="6">
        <v>33.71</v>
      </c>
      <c r="S86" s="6">
        <v>40.76</v>
      </c>
      <c r="T86" s="3" t="s">
        <v>54</v>
      </c>
    </row>
    <row r="87" spans="1:20">
      <c r="A87" s="3" t="s">
        <v>168</v>
      </c>
      <c r="B87" s="3" t="str">
        <f t="shared" si="6"/>
        <v>Apr</v>
      </c>
      <c r="C87" s="3" t="str">
        <f t="shared" si="7"/>
        <v>2026</v>
      </c>
      <c r="D87" s="3" t="str">
        <f t="shared" si="8"/>
        <v>Monday</v>
      </c>
      <c r="E87" s="25">
        <v>46139</v>
      </c>
      <c r="F87" s="4" t="str">
        <f t="shared" si="9"/>
        <v>West</v>
      </c>
      <c r="G87" s="3" t="s">
        <v>67</v>
      </c>
      <c r="H87" s="3" t="s">
        <v>68</v>
      </c>
      <c r="I87" s="3" t="str">
        <f t="shared" si="10"/>
        <v>Online</v>
      </c>
      <c r="J87" s="3" t="s">
        <v>58</v>
      </c>
      <c r="K87" s="3" t="s">
        <v>84</v>
      </c>
      <c r="L87" s="3" t="str">
        <f t="shared" si="11"/>
        <v>Printer Paper</v>
      </c>
      <c r="M87" s="3" t="s">
        <v>96</v>
      </c>
      <c r="N87" s="5">
        <v>4</v>
      </c>
      <c r="O87" s="6">
        <v>10.71</v>
      </c>
      <c r="P87" s="7">
        <v>0.05</v>
      </c>
      <c r="Q87" s="6">
        <v>40.700000000000003</v>
      </c>
      <c r="R87" s="6">
        <v>16.28</v>
      </c>
      <c r="S87" s="6">
        <v>24.42</v>
      </c>
      <c r="T87" s="3" t="s">
        <v>63</v>
      </c>
    </row>
    <row r="88" spans="1:20">
      <c r="A88" s="3" t="s">
        <v>169</v>
      </c>
      <c r="B88" s="3" t="str">
        <f t="shared" si="6"/>
        <v>Oct</v>
      </c>
      <c r="C88" s="3" t="str">
        <f t="shared" si="7"/>
        <v>2025</v>
      </c>
      <c r="D88" s="3" t="str">
        <f t="shared" si="8"/>
        <v>Wednesday</v>
      </c>
      <c r="E88" s="25">
        <v>45938</v>
      </c>
      <c r="F88" s="4" t="str">
        <f t="shared" si="9"/>
        <v>East</v>
      </c>
      <c r="G88" s="3" t="s">
        <v>61</v>
      </c>
      <c r="H88" s="3" t="s">
        <v>62</v>
      </c>
      <c r="I88" s="3" t="str">
        <f t="shared" si="10"/>
        <v>Wholesale</v>
      </c>
      <c r="J88" s="3" t="s">
        <v>45</v>
      </c>
      <c r="K88" s="3" t="s">
        <v>46</v>
      </c>
      <c r="L88" s="3" t="str">
        <f t="shared" si="11"/>
        <v>Usb-C Hub</v>
      </c>
      <c r="M88" s="3" t="s">
        <v>93</v>
      </c>
      <c r="N88" s="5">
        <v>10</v>
      </c>
      <c r="O88" s="6">
        <v>25.45</v>
      </c>
      <c r="P88" s="7">
        <v>0.05</v>
      </c>
      <c r="Q88" s="6">
        <v>241.77</v>
      </c>
      <c r="R88" s="6">
        <v>139.97999999999999</v>
      </c>
      <c r="S88" s="6">
        <v>101.79</v>
      </c>
      <c r="T88" s="3" t="s">
        <v>77</v>
      </c>
    </row>
    <row r="89" spans="1:20">
      <c r="A89" s="3" t="s">
        <v>170</v>
      </c>
      <c r="B89" s="3" t="str">
        <f t="shared" si="6"/>
        <v>Feb</v>
      </c>
      <c r="C89" s="3" t="str">
        <f t="shared" si="7"/>
        <v>2026</v>
      </c>
      <c r="D89" s="3" t="str">
        <f t="shared" si="8"/>
        <v>Friday</v>
      </c>
      <c r="E89" s="25">
        <v>46073</v>
      </c>
      <c r="F89" s="4" t="str">
        <f t="shared" si="9"/>
        <v>East</v>
      </c>
      <c r="G89" s="3" t="s">
        <v>61</v>
      </c>
      <c r="H89" s="3" t="s">
        <v>62</v>
      </c>
      <c r="I89" s="3" t="str">
        <f t="shared" si="10"/>
        <v>Retail</v>
      </c>
      <c r="J89" s="3" t="s">
        <v>90</v>
      </c>
      <c r="K89" s="3" t="s">
        <v>84</v>
      </c>
      <c r="L89" s="3" t="str">
        <f t="shared" si="11"/>
        <v>Notebook Set</v>
      </c>
      <c r="M89" s="3" t="s">
        <v>85</v>
      </c>
      <c r="N89" s="5">
        <v>5</v>
      </c>
      <c r="O89" s="6">
        <v>7.84</v>
      </c>
      <c r="P89" s="7">
        <v>0.1</v>
      </c>
      <c r="Q89" s="6">
        <v>35.28</v>
      </c>
      <c r="R89" s="6">
        <v>15.68</v>
      </c>
      <c r="S89" s="6">
        <v>19.600000000000001</v>
      </c>
      <c r="T89" s="3" t="s">
        <v>77</v>
      </c>
    </row>
    <row r="90" spans="1:20">
      <c r="A90" s="3" t="s">
        <v>171</v>
      </c>
      <c r="B90" s="3" t="str">
        <f t="shared" si="6"/>
        <v>Feb</v>
      </c>
      <c r="C90" s="3" t="str">
        <f t="shared" si="7"/>
        <v>2025</v>
      </c>
      <c r="D90" s="3" t="str">
        <f t="shared" si="8"/>
        <v>Monday</v>
      </c>
      <c r="E90" s="25">
        <v>45691</v>
      </c>
      <c r="F90" s="4" t="str">
        <f t="shared" si="9"/>
        <v>East</v>
      </c>
      <c r="G90" s="3" t="s">
        <v>61</v>
      </c>
      <c r="H90" s="3" t="s">
        <v>62</v>
      </c>
      <c r="I90" s="3" t="str">
        <f t="shared" si="10"/>
        <v>Corporate</v>
      </c>
      <c r="J90" s="3" t="s">
        <v>72</v>
      </c>
      <c r="K90" s="3" t="s">
        <v>69</v>
      </c>
      <c r="L90" s="3" t="str">
        <f t="shared" si="11"/>
        <v>Bookshelf</v>
      </c>
      <c r="M90" s="3" t="s">
        <v>70</v>
      </c>
      <c r="N90" s="5">
        <v>11</v>
      </c>
      <c r="O90" s="6">
        <v>93.03</v>
      </c>
      <c r="P90" s="7">
        <v>0.15</v>
      </c>
      <c r="Q90" s="6">
        <v>869.83</v>
      </c>
      <c r="R90" s="6">
        <v>532.13</v>
      </c>
      <c r="S90" s="6">
        <v>337.7</v>
      </c>
      <c r="T90" s="3" t="s">
        <v>77</v>
      </c>
    </row>
    <row r="91" spans="1:20">
      <c r="A91" s="3" t="s">
        <v>172</v>
      </c>
      <c r="B91" s="3" t="str">
        <f t="shared" si="6"/>
        <v>Jun</v>
      </c>
      <c r="C91" s="3" t="str">
        <f t="shared" si="7"/>
        <v>2026</v>
      </c>
      <c r="D91" s="3" t="str">
        <f t="shared" si="8"/>
        <v>Monday</v>
      </c>
      <c r="E91" s="25" t="s">
        <v>173</v>
      </c>
      <c r="F91" s="4" t="str">
        <f t="shared" si="9"/>
        <v>East</v>
      </c>
      <c r="G91" s="3" t="s">
        <v>61</v>
      </c>
      <c r="H91" s="3" t="s">
        <v>62</v>
      </c>
      <c r="I91" s="3" t="str">
        <f t="shared" si="10"/>
        <v>Online</v>
      </c>
      <c r="J91" s="3" t="s">
        <v>58</v>
      </c>
      <c r="K91" s="3" t="s">
        <v>52</v>
      </c>
      <c r="L91" s="3" t="str">
        <f t="shared" si="11"/>
        <v>Keyboard Cover</v>
      </c>
      <c r="M91" s="3" t="s">
        <v>59</v>
      </c>
      <c r="N91" s="5">
        <v>6</v>
      </c>
      <c r="O91" s="6">
        <v>13.52</v>
      </c>
      <c r="P91" s="7">
        <v>0.05</v>
      </c>
      <c r="Q91" s="6">
        <v>77.06</v>
      </c>
      <c r="R91" s="6">
        <v>33.26</v>
      </c>
      <c r="S91" s="6">
        <v>43.8</v>
      </c>
      <c r="T91" s="3" t="s">
        <v>54</v>
      </c>
    </row>
    <row r="92" spans="1:20">
      <c r="A92" s="3" t="s">
        <v>174</v>
      </c>
      <c r="B92" s="3" t="str">
        <f t="shared" si="6"/>
        <v>Oct</v>
      </c>
      <c r="C92" s="3" t="str">
        <f t="shared" si="7"/>
        <v>2025</v>
      </c>
      <c r="D92" s="3" t="str">
        <f t="shared" si="8"/>
        <v>Friday</v>
      </c>
      <c r="E92" s="25">
        <v>45947</v>
      </c>
      <c r="F92" s="4" t="str">
        <f t="shared" si="9"/>
        <v>East</v>
      </c>
      <c r="G92" s="3" t="s">
        <v>61</v>
      </c>
      <c r="H92" s="3" t="s">
        <v>62</v>
      </c>
      <c r="I92" s="3" t="str">
        <f t="shared" si="10"/>
        <v>Wholesale</v>
      </c>
      <c r="J92" s="3" t="s">
        <v>45</v>
      </c>
      <c r="K92" s="3" t="s">
        <v>69</v>
      </c>
      <c r="L92" s="3" t="str">
        <f t="shared" si="11"/>
        <v>Ergonomic Chair</v>
      </c>
      <c r="M92" s="3" t="s">
        <v>79</v>
      </c>
      <c r="N92" s="5">
        <v>7</v>
      </c>
      <c r="O92" s="6">
        <v>139.43</v>
      </c>
      <c r="P92" s="7">
        <v>0.15</v>
      </c>
      <c r="Q92" s="6">
        <v>829.61</v>
      </c>
      <c r="R92" s="6">
        <v>566.09</v>
      </c>
      <c r="S92" s="6">
        <v>263.52</v>
      </c>
      <c r="T92" s="3" t="s">
        <v>88</v>
      </c>
    </row>
    <row r="93" spans="1:20">
      <c r="A93" s="3" t="s">
        <v>175</v>
      </c>
      <c r="B93" s="3" t="str">
        <f t="shared" si="6"/>
        <v>Jun</v>
      </c>
      <c r="C93" s="3" t="str">
        <f t="shared" si="7"/>
        <v>2026</v>
      </c>
      <c r="D93" s="3" t="str">
        <f t="shared" si="8"/>
        <v>Tuesday</v>
      </c>
      <c r="E93" s="25">
        <v>46175</v>
      </c>
      <c r="F93" s="4" t="str">
        <f t="shared" si="9"/>
        <v>North</v>
      </c>
      <c r="G93" s="3" t="s">
        <v>50</v>
      </c>
      <c r="H93" s="3" t="s">
        <v>51</v>
      </c>
      <c r="I93" s="3" t="str">
        <f t="shared" si="10"/>
        <v>Corporate</v>
      </c>
      <c r="J93" s="3" t="s">
        <v>72</v>
      </c>
      <c r="K93" s="3" t="s">
        <v>52</v>
      </c>
      <c r="L93" s="3" t="str">
        <f t="shared" si="11"/>
        <v>Laptop Sleeve</v>
      </c>
      <c r="M93" s="3" t="s">
        <v>91</v>
      </c>
      <c r="N93" s="5">
        <v>2</v>
      </c>
      <c r="O93" s="6">
        <v>20.6</v>
      </c>
      <c r="P93" s="7">
        <v>0</v>
      </c>
      <c r="Q93" s="6">
        <v>41.2</v>
      </c>
      <c r="R93" s="6">
        <v>20.190000000000001</v>
      </c>
      <c r="S93" s="6">
        <v>21.01</v>
      </c>
      <c r="T93" s="3" t="s">
        <v>77</v>
      </c>
    </row>
    <row r="94" spans="1:20">
      <c r="A94" s="3" t="s">
        <v>176</v>
      </c>
      <c r="B94" s="3" t="str">
        <f t="shared" si="6"/>
        <v>Nov</v>
      </c>
      <c r="C94" s="3" t="str">
        <f t="shared" si="7"/>
        <v>2025</v>
      </c>
      <c r="D94" s="3" t="str">
        <f t="shared" si="8"/>
        <v>Friday</v>
      </c>
      <c r="E94" s="25">
        <v>45975</v>
      </c>
      <c r="F94" s="4" t="str">
        <f t="shared" si="9"/>
        <v>East</v>
      </c>
      <c r="G94" s="3" t="s">
        <v>61</v>
      </c>
      <c r="H94" s="3" t="s">
        <v>62</v>
      </c>
      <c r="I94" s="3" t="str">
        <f t="shared" si="10"/>
        <v>Online</v>
      </c>
      <c r="J94" s="3" t="s">
        <v>58</v>
      </c>
      <c r="K94" s="3" t="s">
        <v>52</v>
      </c>
      <c r="L94" s="3" t="str">
        <f t="shared" si="11"/>
        <v>Water Bottle</v>
      </c>
      <c r="M94" s="3" t="s">
        <v>53</v>
      </c>
      <c r="N94" s="5">
        <v>6</v>
      </c>
      <c r="O94" s="6">
        <v>8.76</v>
      </c>
      <c r="P94" s="7">
        <v>0.15</v>
      </c>
      <c r="Q94" s="6">
        <v>44.68</v>
      </c>
      <c r="R94" s="6">
        <v>22.6</v>
      </c>
      <c r="S94" s="6">
        <v>22.08</v>
      </c>
      <c r="T94" s="3" t="s">
        <v>48</v>
      </c>
    </row>
    <row r="95" spans="1:20">
      <c r="A95" s="3" t="s">
        <v>177</v>
      </c>
      <c r="B95" s="3" t="str">
        <f t="shared" si="6"/>
        <v>Apr</v>
      </c>
      <c r="C95" s="3" t="str">
        <f t="shared" si="7"/>
        <v>2026</v>
      </c>
      <c r="D95" s="3" t="str">
        <f t="shared" si="8"/>
        <v>Saturday</v>
      </c>
      <c r="E95" s="25">
        <v>46130</v>
      </c>
      <c r="F95" s="4" t="str">
        <f t="shared" si="9"/>
        <v>West</v>
      </c>
      <c r="G95" s="3" t="s">
        <v>67</v>
      </c>
      <c r="H95" s="3" t="s">
        <v>68</v>
      </c>
      <c r="I95" s="3" t="str">
        <f t="shared" si="10"/>
        <v>Retail</v>
      </c>
      <c r="J95" s="3" t="s">
        <v>90</v>
      </c>
      <c r="K95" s="3" t="s">
        <v>84</v>
      </c>
      <c r="L95" s="3" t="str">
        <f t="shared" si="11"/>
        <v>Desk Organizer</v>
      </c>
      <c r="M95" s="3" t="s">
        <v>134</v>
      </c>
      <c r="N95" s="5">
        <v>12</v>
      </c>
      <c r="O95" s="6">
        <v>14.83</v>
      </c>
      <c r="P95" s="7">
        <v>0.15</v>
      </c>
      <c r="Q95" s="6">
        <v>151.27000000000001</v>
      </c>
      <c r="R95" s="6">
        <v>81.86</v>
      </c>
      <c r="S95" s="6">
        <v>69.41</v>
      </c>
      <c r="T95" s="3" t="s">
        <v>88</v>
      </c>
    </row>
    <row r="96" spans="1:20">
      <c r="A96" s="3" t="s">
        <v>178</v>
      </c>
      <c r="B96" s="3" t="str">
        <f t="shared" si="6"/>
        <v>Nov</v>
      </c>
      <c r="C96" s="3" t="str">
        <f t="shared" si="7"/>
        <v>2025</v>
      </c>
      <c r="D96" s="3" t="str">
        <f t="shared" si="8"/>
        <v>Thursday</v>
      </c>
      <c r="E96" s="25">
        <v>45988</v>
      </c>
      <c r="F96" s="4" t="str">
        <f t="shared" si="9"/>
        <v>Central</v>
      </c>
      <c r="G96" s="3" t="s">
        <v>74</v>
      </c>
      <c r="H96" s="3" t="s">
        <v>44</v>
      </c>
      <c r="I96" s="3" t="str">
        <f t="shared" si="10"/>
        <v>Online</v>
      </c>
      <c r="J96" s="3" t="s">
        <v>58</v>
      </c>
      <c r="K96" s="3" t="s">
        <v>52</v>
      </c>
      <c r="L96" s="3" t="str">
        <f t="shared" si="11"/>
        <v>Keyboard Cover</v>
      </c>
      <c r="M96" s="3" t="s">
        <v>128</v>
      </c>
      <c r="N96" s="5">
        <v>12</v>
      </c>
      <c r="O96" s="6">
        <v>13.43</v>
      </c>
      <c r="P96" s="7">
        <v>0.05</v>
      </c>
      <c r="Q96" s="6">
        <v>153.1</v>
      </c>
      <c r="R96" s="6">
        <v>66.08</v>
      </c>
      <c r="S96" s="6">
        <v>87.02</v>
      </c>
      <c r="T96" s="3" t="s">
        <v>48</v>
      </c>
    </row>
    <row r="97" spans="1:20">
      <c r="A97" s="3" t="s">
        <v>179</v>
      </c>
      <c r="B97" s="3" t="str">
        <f t="shared" si="6"/>
        <v>Dec</v>
      </c>
      <c r="C97" s="3" t="str">
        <f t="shared" si="7"/>
        <v>2026</v>
      </c>
      <c r="D97" s="3" t="str">
        <f t="shared" si="8"/>
        <v>Sunday</v>
      </c>
      <c r="E97" s="25">
        <v>46362</v>
      </c>
      <c r="F97" s="4" t="str">
        <f t="shared" si="9"/>
        <v>South</v>
      </c>
      <c r="G97" s="3" t="s">
        <v>56</v>
      </c>
      <c r="H97" s="3" t="s">
        <v>57</v>
      </c>
      <c r="I97" s="3" t="str">
        <f t="shared" si="10"/>
        <v>Online</v>
      </c>
      <c r="J97" s="3" t="s">
        <v>58</v>
      </c>
      <c r="K97" s="3" t="s">
        <v>69</v>
      </c>
      <c r="L97" s="3" t="str">
        <f t="shared" si="11"/>
        <v>Ergonomic Chair</v>
      </c>
      <c r="M97" s="3" t="s">
        <v>79</v>
      </c>
      <c r="N97" s="5">
        <v>3</v>
      </c>
      <c r="O97" s="6">
        <v>138.61000000000001</v>
      </c>
      <c r="P97" s="7">
        <v>0.1</v>
      </c>
      <c r="Q97" s="6">
        <v>374.25</v>
      </c>
      <c r="R97" s="6">
        <v>241.18</v>
      </c>
      <c r="S97" s="6">
        <v>133.07</v>
      </c>
      <c r="T97" s="3" t="s">
        <v>65</v>
      </c>
    </row>
    <row r="98" spans="1:20">
      <c r="A98" s="3" t="s">
        <v>180</v>
      </c>
      <c r="B98" s="3" t="str">
        <f t="shared" si="6"/>
        <v>Jan</v>
      </c>
      <c r="C98" s="3" t="str">
        <f t="shared" si="7"/>
        <v>2025</v>
      </c>
      <c r="D98" s="3" t="str">
        <f t="shared" si="8"/>
        <v>Saturday</v>
      </c>
      <c r="E98" s="25">
        <v>45675</v>
      </c>
      <c r="F98" s="4" t="str">
        <f t="shared" si="9"/>
        <v>West</v>
      </c>
      <c r="G98" s="3" t="s">
        <v>67</v>
      </c>
      <c r="H98" s="3" t="s">
        <v>68</v>
      </c>
      <c r="I98" s="3" t="str">
        <f t="shared" si="10"/>
        <v>Corporate</v>
      </c>
      <c r="J98" s="3" t="s">
        <v>72</v>
      </c>
      <c r="K98" s="3" t="s">
        <v>46</v>
      </c>
      <c r="L98" s="3" t="str">
        <f t="shared" si="11"/>
        <v>Usb-C Hub</v>
      </c>
      <c r="M98" s="3" t="s">
        <v>93</v>
      </c>
      <c r="N98" s="5">
        <v>8</v>
      </c>
      <c r="O98" s="6">
        <v>24.69</v>
      </c>
      <c r="P98" s="7">
        <v>0.1</v>
      </c>
      <c r="Q98" s="6">
        <v>177.77</v>
      </c>
      <c r="R98" s="6">
        <v>108.64</v>
      </c>
      <c r="S98" s="6">
        <v>69.13</v>
      </c>
      <c r="T98" s="3" t="s">
        <v>88</v>
      </c>
    </row>
    <row r="99" spans="1:20">
      <c r="A99" s="3" t="s">
        <v>181</v>
      </c>
      <c r="B99" s="3" t="str">
        <f t="shared" si="6"/>
        <v>Dec</v>
      </c>
      <c r="C99" s="3" t="str">
        <f t="shared" si="7"/>
        <v>2026</v>
      </c>
      <c r="D99" s="3" t="str">
        <f t="shared" si="8"/>
        <v>Thursday</v>
      </c>
      <c r="E99" s="25">
        <v>46380</v>
      </c>
      <c r="F99" s="4" t="str">
        <f t="shared" si="9"/>
        <v>West</v>
      </c>
      <c r="G99" s="3" t="s">
        <v>67</v>
      </c>
      <c r="H99" s="3" t="s">
        <v>68</v>
      </c>
      <c r="I99" s="3" t="str">
        <f t="shared" si="10"/>
        <v>Retail</v>
      </c>
      <c r="J99" s="3" t="s">
        <v>90</v>
      </c>
      <c r="K99" s="3" t="s">
        <v>84</v>
      </c>
      <c r="L99" s="3" t="str">
        <f t="shared" si="11"/>
        <v>Desk Organizer</v>
      </c>
      <c r="M99" s="3" t="s">
        <v>134</v>
      </c>
      <c r="N99" s="5">
        <v>5</v>
      </c>
      <c r="O99" s="6">
        <v>14.34</v>
      </c>
      <c r="P99" s="7">
        <v>0.15</v>
      </c>
      <c r="Q99" s="6">
        <v>60.95</v>
      </c>
      <c r="R99" s="6">
        <v>32.979999999999997</v>
      </c>
      <c r="S99" s="6">
        <v>27.97</v>
      </c>
      <c r="T99" s="3" t="s">
        <v>77</v>
      </c>
    </row>
    <row r="100" spans="1:20">
      <c r="A100" s="3" t="s">
        <v>182</v>
      </c>
      <c r="B100" s="3" t="str">
        <f t="shared" si="6"/>
        <v>Jul</v>
      </c>
      <c r="C100" s="3" t="str">
        <f t="shared" si="7"/>
        <v>2025</v>
      </c>
      <c r="D100" s="3" t="str">
        <f t="shared" si="8"/>
        <v>Sunday</v>
      </c>
      <c r="E100" s="25">
        <v>45851</v>
      </c>
      <c r="F100" s="4" t="str">
        <f t="shared" si="9"/>
        <v>Central</v>
      </c>
      <c r="G100" s="3" t="s">
        <v>74</v>
      </c>
      <c r="H100" s="3" t="s">
        <v>44</v>
      </c>
      <c r="I100" s="3" t="str">
        <f t="shared" si="10"/>
        <v>Wholesale</v>
      </c>
      <c r="J100" s="3" t="s">
        <v>45</v>
      </c>
      <c r="K100" s="3" t="s">
        <v>46</v>
      </c>
      <c r="L100" s="3" t="str">
        <f t="shared" si="11"/>
        <v>Usb-C Hub</v>
      </c>
      <c r="M100" s="3" t="s">
        <v>93</v>
      </c>
      <c r="N100" s="5">
        <v>6</v>
      </c>
      <c r="O100" s="6">
        <v>26.33</v>
      </c>
      <c r="P100" s="7">
        <v>0</v>
      </c>
      <c r="Q100" s="6">
        <v>157.97999999999999</v>
      </c>
      <c r="R100" s="6">
        <v>86.89</v>
      </c>
      <c r="S100" s="6">
        <v>71.09</v>
      </c>
      <c r="T100" s="3" t="s">
        <v>54</v>
      </c>
    </row>
    <row r="101" spans="1:20">
      <c r="A101" s="3" t="s">
        <v>183</v>
      </c>
      <c r="B101" s="3" t="str">
        <f t="shared" si="6"/>
        <v>Nov</v>
      </c>
      <c r="C101" s="3" t="str">
        <f t="shared" si="7"/>
        <v>2026</v>
      </c>
      <c r="D101" s="3" t="str">
        <f t="shared" si="8"/>
        <v>Friday</v>
      </c>
      <c r="E101" s="25">
        <v>46353</v>
      </c>
      <c r="F101" s="4" t="str">
        <f t="shared" si="9"/>
        <v>North</v>
      </c>
      <c r="G101" s="3" t="s">
        <v>50</v>
      </c>
      <c r="H101" s="3" t="s">
        <v>51</v>
      </c>
      <c r="I101" s="3" t="str">
        <f t="shared" si="10"/>
        <v>Corporate</v>
      </c>
      <c r="J101" s="3" t="s">
        <v>72</v>
      </c>
      <c r="K101" s="3" t="s">
        <v>46</v>
      </c>
      <c r="L101" s="3" t="str">
        <f t="shared" si="11"/>
        <v>Wireless Mouse</v>
      </c>
      <c r="M101" s="3" t="s">
        <v>75</v>
      </c>
      <c r="N101" s="5">
        <v>8</v>
      </c>
      <c r="O101" s="6">
        <v>19.46</v>
      </c>
      <c r="P101" s="7">
        <v>0.15</v>
      </c>
      <c r="Q101" s="6">
        <v>132.33000000000001</v>
      </c>
      <c r="R101" s="6">
        <v>74.73</v>
      </c>
      <c r="S101" s="6">
        <v>57.6</v>
      </c>
      <c r="T101" s="3" t="s">
        <v>88</v>
      </c>
    </row>
    <row r="102" spans="1:20">
      <c r="A102" s="3" t="s">
        <v>184</v>
      </c>
      <c r="B102" s="3" t="str">
        <f t="shared" si="6"/>
        <v>Jan</v>
      </c>
      <c r="C102" s="3" t="str">
        <f t="shared" si="7"/>
        <v>2025</v>
      </c>
      <c r="D102" s="3" t="str">
        <f t="shared" si="8"/>
        <v>Wednesday</v>
      </c>
      <c r="E102" s="25">
        <v>45658</v>
      </c>
      <c r="F102" s="4" t="str">
        <f t="shared" si="9"/>
        <v>East</v>
      </c>
      <c r="G102" s="3" t="s">
        <v>61</v>
      </c>
      <c r="H102" s="3" t="s">
        <v>62</v>
      </c>
      <c r="I102" s="3" t="str">
        <f t="shared" si="10"/>
        <v>Online</v>
      </c>
      <c r="J102" s="3" t="s">
        <v>58</v>
      </c>
      <c r="K102" s="3" t="s">
        <v>52</v>
      </c>
      <c r="L102" s="3" t="str">
        <f t="shared" si="11"/>
        <v>Water Bottle</v>
      </c>
      <c r="M102" s="3" t="s">
        <v>53</v>
      </c>
      <c r="N102" s="5">
        <v>3</v>
      </c>
      <c r="O102" s="6">
        <v>10.46</v>
      </c>
      <c r="P102" s="7">
        <v>0.05</v>
      </c>
      <c r="Q102" s="6">
        <v>29.81</v>
      </c>
      <c r="R102" s="6">
        <v>13.49</v>
      </c>
      <c r="S102" s="6">
        <v>16.32</v>
      </c>
      <c r="T102" s="3" t="s">
        <v>54</v>
      </c>
    </row>
    <row r="103" spans="1:20">
      <c r="A103" s="3" t="s">
        <v>185</v>
      </c>
      <c r="B103" s="3" t="str">
        <f t="shared" si="6"/>
        <v>Mar</v>
      </c>
      <c r="C103" s="3" t="str">
        <f t="shared" si="7"/>
        <v>2026</v>
      </c>
      <c r="D103" s="3" t="str">
        <f t="shared" si="8"/>
        <v>Wednesday</v>
      </c>
      <c r="E103" s="25">
        <v>46085</v>
      </c>
      <c r="F103" s="4" t="str">
        <f t="shared" si="9"/>
        <v>East</v>
      </c>
      <c r="G103" s="3" t="s">
        <v>61</v>
      </c>
      <c r="H103" s="3" t="s">
        <v>62</v>
      </c>
      <c r="I103" s="3" t="str">
        <f t="shared" si="10"/>
        <v>Corporate</v>
      </c>
      <c r="J103" s="3" t="s">
        <v>72</v>
      </c>
      <c r="K103" s="3" t="s">
        <v>84</v>
      </c>
      <c r="L103" s="3" t="str">
        <f t="shared" si="11"/>
        <v>Desk Organizer</v>
      </c>
      <c r="M103" s="3" t="s">
        <v>134</v>
      </c>
      <c r="N103" s="5">
        <v>12</v>
      </c>
      <c r="O103" s="6">
        <v>13.78</v>
      </c>
      <c r="P103" s="7">
        <v>0</v>
      </c>
      <c r="Q103" s="6">
        <v>165.36</v>
      </c>
      <c r="R103" s="6">
        <v>76.069999999999993</v>
      </c>
      <c r="S103" s="6">
        <v>89.29</v>
      </c>
      <c r="T103" s="3" t="s">
        <v>63</v>
      </c>
    </row>
    <row r="104" spans="1:20">
      <c r="A104" s="3" t="s">
        <v>186</v>
      </c>
      <c r="B104" s="3" t="str">
        <f t="shared" si="6"/>
        <v>Dec</v>
      </c>
      <c r="C104" s="3" t="str">
        <f t="shared" si="7"/>
        <v>2025</v>
      </c>
      <c r="D104" s="3" t="str">
        <f t="shared" si="8"/>
        <v>Saturday</v>
      </c>
      <c r="E104" s="25">
        <v>46011</v>
      </c>
      <c r="F104" s="4" t="str">
        <f t="shared" si="9"/>
        <v>North</v>
      </c>
      <c r="G104" s="3" t="s">
        <v>50</v>
      </c>
      <c r="H104" s="3" t="s">
        <v>51</v>
      </c>
      <c r="I104" s="3" t="str">
        <f t="shared" si="10"/>
        <v>Corporate</v>
      </c>
      <c r="J104" s="3" t="s">
        <v>72</v>
      </c>
      <c r="K104" s="3" t="s">
        <v>46</v>
      </c>
      <c r="L104" s="3" t="str">
        <f t="shared" si="11"/>
        <v>Usb-C Hub</v>
      </c>
      <c r="M104" s="3" t="s">
        <v>93</v>
      </c>
      <c r="N104" s="5">
        <v>2</v>
      </c>
      <c r="O104" s="6">
        <v>25.19</v>
      </c>
      <c r="P104" s="7">
        <v>0.1</v>
      </c>
      <c r="Q104" s="6">
        <v>45.34</v>
      </c>
      <c r="R104" s="6">
        <v>27.71</v>
      </c>
      <c r="S104" s="6">
        <v>17.63</v>
      </c>
      <c r="T104" s="3" t="s">
        <v>77</v>
      </c>
    </row>
    <row r="105" spans="1:20">
      <c r="A105" s="3" t="s">
        <v>187</v>
      </c>
      <c r="B105" s="3" t="str">
        <f t="shared" si="6"/>
        <v>Nov</v>
      </c>
      <c r="C105" s="3" t="str">
        <f t="shared" si="7"/>
        <v>2026</v>
      </c>
      <c r="D105" s="3" t="str">
        <f t="shared" si="8"/>
        <v>Monday</v>
      </c>
      <c r="E105" s="25">
        <v>46328</v>
      </c>
      <c r="F105" s="4" t="str">
        <f t="shared" si="9"/>
        <v>East</v>
      </c>
      <c r="G105" s="3" t="s">
        <v>61</v>
      </c>
      <c r="H105" s="3" t="s">
        <v>62</v>
      </c>
      <c r="I105" s="3" t="str">
        <f t="shared" si="10"/>
        <v>Retail</v>
      </c>
      <c r="J105" s="3" t="s">
        <v>90</v>
      </c>
      <c r="K105" s="3" t="s">
        <v>46</v>
      </c>
      <c r="L105" s="3" t="str">
        <f t="shared" si="11"/>
        <v>Usb-C Hub</v>
      </c>
      <c r="M105" s="3" t="s">
        <v>93</v>
      </c>
      <c r="N105" s="5">
        <v>8</v>
      </c>
      <c r="O105" s="6">
        <v>25.97</v>
      </c>
      <c r="P105" s="7">
        <v>0.05</v>
      </c>
      <c r="Q105" s="6">
        <v>197.37</v>
      </c>
      <c r="R105" s="6">
        <v>114.27</v>
      </c>
      <c r="S105" s="6">
        <v>83.1</v>
      </c>
      <c r="T105" s="3" t="s">
        <v>63</v>
      </c>
    </row>
    <row r="106" spans="1:20">
      <c r="A106" s="3" t="s">
        <v>188</v>
      </c>
      <c r="B106" s="3" t="str">
        <f t="shared" si="6"/>
        <v>Jan</v>
      </c>
      <c r="C106" s="3" t="str">
        <f t="shared" si="7"/>
        <v>2025</v>
      </c>
      <c r="D106" s="3" t="str">
        <f t="shared" si="8"/>
        <v>Monday</v>
      </c>
      <c r="E106" s="25">
        <v>45663</v>
      </c>
      <c r="F106" s="4" t="str">
        <f t="shared" si="9"/>
        <v>West</v>
      </c>
      <c r="G106" s="3" t="s">
        <v>67</v>
      </c>
      <c r="H106" s="3" t="s">
        <v>68</v>
      </c>
      <c r="I106" s="3" t="str">
        <f t="shared" si="10"/>
        <v>Corporate</v>
      </c>
      <c r="J106" s="3" t="s">
        <v>72</v>
      </c>
      <c r="K106" s="3" t="s">
        <v>69</v>
      </c>
      <c r="L106" s="3" t="str">
        <f t="shared" si="11"/>
        <v>Bookshelf</v>
      </c>
      <c r="M106" s="3" t="s">
        <v>70</v>
      </c>
      <c r="N106" s="5">
        <v>4</v>
      </c>
      <c r="O106" s="6">
        <v>95.55</v>
      </c>
      <c r="P106" s="7">
        <v>0.15</v>
      </c>
      <c r="Q106" s="6">
        <v>324.87</v>
      </c>
      <c r="R106" s="6">
        <v>198.74</v>
      </c>
      <c r="S106" s="6">
        <v>126.13</v>
      </c>
      <c r="T106" s="3" t="s">
        <v>48</v>
      </c>
    </row>
    <row r="107" spans="1:20">
      <c r="A107" s="3" t="s">
        <v>189</v>
      </c>
      <c r="B107" s="3" t="str">
        <f t="shared" si="6"/>
        <v>Dec</v>
      </c>
      <c r="C107" s="3" t="str">
        <f t="shared" si="7"/>
        <v>2026</v>
      </c>
      <c r="D107" s="3" t="str">
        <f t="shared" si="8"/>
        <v>Sunday</v>
      </c>
      <c r="E107" s="25">
        <v>46362</v>
      </c>
      <c r="F107" s="4" t="str">
        <f t="shared" si="9"/>
        <v>East</v>
      </c>
      <c r="G107" s="3" t="s">
        <v>61</v>
      </c>
      <c r="H107" s="3" t="s">
        <v>62</v>
      </c>
      <c r="I107" s="3" t="str">
        <f t="shared" si="10"/>
        <v>Corporate</v>
      </c>
      <c r="J107" s="3" t="s">
        <v>72</v>
      </c>
      <c r="K107" s="3" t="s">
        <v>46</v>
      </c>
      <c r="L107" s="3" t="str">
        <f t="shared" si="11"/>
        <v>Laptop Stand</v>
      </c>
      <c r="M107" s="3" t="s">
        <v>116</v>
      </c>
      <c r="N107" s="5">
        <v>10</v>
      </c>
      <c r="O107" s="6">
        <v>22.51</v>
      </c>
      <c r="P107" s="7">
        <v>0.05</v>
      </c>
      <c r="Q107" s="6">
        <v>213.85</v>
      </c>
      <c r="R107" s="6">
        <v>112.55</v>
      </c>
      <c r="S107" s="6">
        <v>101.3</v>
      </c>
      <c r="T107" s="3" t="s">
        <v>65</v>
      </c>
    </row>
    <row r="108" spans="1:20">
      <c r="A108" s="3" t="s">
        <v>190</v>
      </c>
      <c r="B108" s="3" t="str">
        <f t="shared" si="6"/>
        <v>Sep</v>
      </c>
      <c r="C108" s="3" t="str">
        <f t="shared" si="7"/>
        <v>2025</v>
      </c>
      <c r="D108" s="3" t="str">
        <f t="shared" si="8"/>
        <v>Friday</v>
      </c>
      <c r="E108" s="25">
        <v>45905</v>
      </c>
      <c r="F108" s="4" t="str">
        <f t="shared" si="9"/>
        <v>East</v>
      </c>
      <c r="G108" s="3" t="s">
        <v>61</v>
      </c>
      <c r="H108" s="3" t="s">
        <v>62</v>
      </c>
      <c r="I108" s="3" t="str">
        <f t="shared" si="10"/>
        <v>Wholesale</v>
      </c>
      <c r="J108" s="3" t="s">
        <v>45</v>
      </c>
      <c r="K108" s="3" t="s">
        <v>84</v>
      </c>
      <c r="L108" s="3" t="str">
        <f t="shared" si="11"/>
        <v>Desk Organizer</v>
      </c>
      <c r="M108" s="3" t="s">
        <v>134</v>
      </c>
      <c r="N108" s="5">
        <v>8</v>
      </c>
      <c r="O108" s="6">
        <v>15.25</v>
      </c>
      <c r="P108" s="7">
        <v>0.15</v>
      </c>
      <c r="Q108" s="6">
        <v>103.7</v>
      </c>
      <c r="R108" s="6">
        <v>56.12</v>
      </c>
      <c r="S108" s="6">
        <v>47.58</v>
      </c>
      <c r="T108" s="3" t="s">
        <v>48</v>
      </c>
    </row>
    <row r="109" spans="1:20">
      <c r="A109" s="3" t="s">
        <v>191</v>
      </c>
      <c r="B109" s="3" t="str">
        <f t="shared" si="6"/>
        <v>Jan</v>
      </c>
      <c r="C109" s="3" t="str">
        <f t="shared" si="7"/>
        <v>2026</v>
      </c>
      <c r="D109" s="3" t="str">
        <f t="shared" si="8"/>
        <v>Monday</v>
      </c>
      <c r="E109" s="25">
        <v>46041</v>
      </c>
      <c r="F109" s="4" t="str">
        <f t="shared" si="9"/>
        <v>Central</v>
      </c>
      <c r="G109" s="3" t="s">
        <v>74</v>
      </c>
      <c r="H109" s="3" t="s">
        <v>44</v>
      </c>
      <c r="I109" s="3" t="str">
        <f t="shared" si="10"/>
        <v>Corporate</v>
      </c>
      <c r="J109" s="3" t="s">
        <v>72</v>
      </c>
      <c r="K109" s="3" t="s">
        <v>52</v>
      </c>
      <c r="L109" s="3" t="str">
        <f t="shared" si="11"/>
        <v>Laptop Sleeve</v>
      </c>
      <c r="M109" s="3" t="s">
        <v>91</v>
      </c>
      <c r="N109" s="5">
        <v>7</v>
      </c>
      <c r="O109" s="6">
        <v>18.79</v>
      </c>
      <c r="P109" s="7">
        <v>0</v>
      </c>
      <c r="Q109" s="6">
        <v>131.53</v>
      </c>
      <c r="R109" s="6">
        <v>64.45</v>
      </c>
      <c r="S109" s="6">
        <v>67.08</v>
      </c>
      <c r="T109" s="3" t="s">
        <v>63</v>
      </c>
    </row>
    <row r="110" spans="1:20">
      <c r="A110" s="3" t="s">
        <v>192</v>
      </c>
      <c r="B110" s="3" t="str">
        <f t="shared" si="6"/>
        <v>Oct</v>
      </c>
      <c r="C110" s="3" t="str">
        <f t="shared" si="7"/>
        <v>2025</v>
      </c>
      <c r="D110" s="3" t="str">
        <f t="shared" si="8"/>
        <v>Saturday</v>
      </c>
      <c r="E110" s="25">
        <v>45948</v>
      </c>
      <c r="F110" s="4" t="str">
        <f t="shared" si="9"/>
        <v>North</v>
      </c>
      <c r="G110" s="3" t="s">
        <v>50</v>
      </c>
      <c r="H110" s="3" t="s">
        <v>51</v>
      </c>
      <c r="I110" s="3" t="str">
        <f t="shared" si="10"/>
        <v>Online</v>
      </c>
      <c r="J110" s="3" t="s">
        <v>58</v>
      </c>
      <c r="K110" s="3" t="s">
        <v>52</v>
      </c>
      <c r="L110" s="3" t="str">
        <f t="shared" si="11"/>
        <v>Keyboard Cover</v>
      </c>
      <c r="M110" s="3" t="s">
        <v>59</v>
      </c>
      <c r="N110" s="5">
        <v>5</v>
      </c>
      <c r="O110" s="6">
        <v>12.56</v>
      </c>
      <c r="P110" s="7">
        <v>0.15</v>
      </c>
      <c r="Q110" s="6">
        <v>53.38</v>
      </c>
      <c r="R110" s="6">
        <v>25.75</v>
      </c>
      <c r="S110" s="6">
        <v>27.63</v>
      </c>
      <c r="T110" s="3" t="s">
        <v>63</v>
      </c>
    </row>
    <row r="111" spans="1:20">
      <c r="A111" s="3" t="s">
        <v>193</v>
      </c>
      <c r="B111" s="3" t="str">
        <f t="shared" si="6"/>
        <v>Aug</v>
      </c>
      <c r="C111" s="3" t="str">
        <f t="shared" si="7"/>
        <v>2026</v>
      </c>
      <c r="D111" s="3" t="str">
        <f t="shared" si="8"/>
        <v>Sunday</v>
      </c>
      <c r="E111" s="25">
        <v>46243</v>
      </c>
      <c r="F111" s="4" t="str">
        <f t="shared" si="9"/>
        <v>West</v>
      </c>
      <c r="G111" s="3" t="s">
        <v>67</v>
      </c>
      <c r="H111" s="3" t="s">
        <v>68</v>
      </c>
      <c r="I111" s="3" t="str">
        <f t="shared" si="10"/>
        <v>Online</v>
      </c>
      <c r="J111" s="3" t="s">
        <v>58</v>
      </c>
      <c r="K111" s="3" t="s">
        <v>69</v>
      </c>
      <c r="L111" s="3" t="str">
        <f t="shared" si="11"/>
        <v>Ergonomic Chair</v>
      </c>
      <c r="M111" s="3" t="s">
        <v>79</v>
      </c>
      <c r="N111" s="5">
        <v>5</v>
      </c>
      <c r="O111" s="6">
        <v>141.72999999999999</v>
      </c>
      <c r="P111" s="7">
        <v>0.05</v>
      </c>
      <c r="Q111" s="6">
        <v>673.22</v>
      </c>
      <c r="R111" s="6">
        <v>411.02</v>
      </c>
      <c r="S111" s="6">
        <v>262.2</v>
      </c>
      <c r="T111" s="3" t="s">
        <v>54</v>
      </c>
    </row>
    <row r="112" spans="1:20">
      <c r="A112" s="3" t="s">
        <v>194</v>
      </c>
      <c r="B112" s="3" t="str">
        <f t="shared" si="6"/>
        <v>Feb</v>
      </c>
      <c r="C112" s="3" t="str">
        <f t="shared" si="7"/>
        <v>2025</v>
      </c>
      <c r="D112" s="3" t="str">
        <f t="shared" si="8"/>
        <v>Wednesday</v>
      </c>
      <c r="E112" s="25">
        <v>45714</v>
      </c>
      <c r="F112" s="4" t="str">
        <f t="shared" si="9"/>
        <v>South</v>
      </c>
      <c r="G112" s="3" t="s">
        <v>56</v>
      </c>
      <c r="H112" s="3" t="s">
        <v>57</v>
      </c>
      <c r="I112" s="3" t="str">
        <f t="shared" si="10"/>
        <v>Wholesale</v>
      </c>
      <c r="J112" s="3" t="s">
        <v>45</v>
      </c>
      <c r="K112" s="3" t="s">
        <v>52</v>
      </c>
      <c r="L112" s="3" t="str">
        <f t="shared" si="11"/>
        <v>Laptop Sleeve</v>
      </c>
      <c r="M112" s="3" t="s">
        <v>91</v>
      </c>
      <c r="N112" s="5">
        <v>10</v>
      </c>
      <c r="O112" s="6">
        <v>18.12</v>
      </c>
      <c r="P112" s="7">
        <v>0.15</v>
      </c>
      <c r="Q112" s="6">
        <v>154.02000000000001</v>
      </c>
      <c r="R112" s="6">
        <v>88.79</v>
      </c>
      <c r="S112" s="6">
        <v>65.23</v>
      </c>
      <c r="T112" s="3" t="s">
        <v>48</v>
      </c>
    </row>
    <row r="113" spans="1:20">
      <c r="A113" s="3" t="s">
        <v>195</v>
      </c>
      <c r="B113" s="3" t="str">
        <f t="shared" si="6"/>
        <v>Aug</v>
      </c>
      <c r="C113" s="3" t="str">
        <f t="shared" si="7"/>
        <v>2026</v>
      </c>
      <c r="D113" s="3" t="str">
        <f t="shared" si="8"/>
        <v>Friday</v>
      </c>
      <c r="E113" s="25">
        <v>46262</v>
      </c>
      <c r="F113" s="4" t="str">
        <f t="shared" si="9"/>
        <v>Central</v>
      </c>
      <c r="G113" s="3" t="s">
        <v>74</v>
      </c>
      <c r="H113" s="3" t="s">
        <v>44</v>
      </c>
      <c r="I113" s="3" t="str">
        <f t="shared" si="10"/>
        <v>Online</v>
      </c>
      <c r="J113" s="3" t="s">
        <v>58</v>
      </c>
      <c r="K113" s="3" t="s">
        <v>84</v>
      </c>
      <c r="L113" s="3" t="str">
        <f t="shared" si="11"/>
        <v>Notebook Set</v>
      </c>
      <c r="M113" s="3" t="s">
        <v>85</v>
      </c>
      <c r="N113" s="5">
        <v>1</v>
      </c>
      <c r="O113" s="6">
        <v>6.83</v>
      </c>
      <c r="P113" s="7">
        <v>0.1</v>
      </c>
      <c r="Q113" s="6">
        <v>6.15</v>
      </c>
      <c r="R113" s="6">
        <v>2.73</v>
      </c>
      <c r="S113" s="6">
        <v>3.42</v>
      </c>
      <c r="T113" s="3" t="s">
        <v>65</v>
      </c>
    </row>
    <row r="114" spans="1:20">
      <c r="A114" s="3" t="s">
        <v>196</v>
      </c>
      <c r="B114" s="3" t="str">
        <f t="shared" si="6"/>
        <v>Jul</v>
      </c>
      <c r="C114" s="3" t="str">
        <f t="shared" si="7"/>
        <v>2025</v>
      </c>
      <c r="D114" s="3" t="str">
        <f t="shared" si="8"/>
        <v>Saturday</v>
      </c>
      <c r="E114" s="25">
        <v>45864</v>
      </c>
      <c r="F114" s="4" t="str">
        <f t="shared" si="9"/>
        <v>South</v>
      </c>
      <c r="G114" s="3" t="s">
        <v>56</v>
      </c>
      <c r="H114" s="3" t="s">
        <v>57</v>
      </c>
      <c r="I114" s="3" t="str">
        <f t="shared" si="10"/>
        <v>Wholesale</v>
      </c>
      <c r="J114" s="3" t="s">
        <v>45</v>
      </c>
      <c r="K114" s="3" t="s">
        <v>52</v>
      </c>
      <c r="L114" s="3" t="str">
        <f t="shared" si="11"/>
        <v>Water Bottle</v>
      </c>
      <c r="M114" s="3" t="s">
        <v>53</v>
      </c>
      <c r="N114" s="5">
        <v>3</v>
      </c>
      <c r="O114" s="6">
        <v>11.46</v>
      </c>
      <c r="P114" s="7">
        <v>0</v>
      </c>
      <c r="Q114" s="6">
        <v>34.380000000000003</v>
      </c>
      <c r="R114" s="6">
        <v>14.78</v>
      </c>
      <c r="S114" s="6">
        <v>19.600000000000001</v>
      </c>
      <c r="T114" s="3" t="s">
        <v>397</v>
      </c>
    </row>
    <row r="115" spans="1:20">
      <c r="A115" s="3" t="s">
        <v>197</v>
      </c>
      <c r="B115" s="3" t="str">
        <f t="shared" si="6"/>
        <v>Jan</v>
      </c>
      <c r="C115" s="3" t="str">
        <f t="shared" si="7"/>
        <v>2026</v>
      </c>
      <c r="D115" s="3" t="str">
        <f t="shared" si="8"/>
        <v>Thursday</v>
      </c>
      <c r="E115" s="25">
        <v>46044</v>
      </c>
      <c r="F115" s="4" t="str">
        <f t="shared" si="9"/>
        <v>East</v>
      </c>
      <c r="G115" s="3" t="s">
        <v>61</v>
      </c>
      <c r="H115" s="3" t="s">
        <v>62</v>
      </c>
      <c r="I115" s="3" t="str">
        <f t="shared" si="10"/>
        <v>Corporate</v>
      </c>
      <c r="J115" s="3" t="s">
        <v>72</v>
      </c>
      <c r="K115" s="3" t="s">
        <v>52</v>
      </c>
      <c r="L115" s="3" t="str">
        <f t="shared" si="11"/>
        <v>Water Bottle</v>
      </c>
      <c r="M115" s="3" t="s">
        <v>53</v>
      </c>
      <c r="N115" s="5">
        <v>1</v>
      </c>
      <c r="O115" s="6">
        <v>11.98</v>
      </c>
      <c r="P115" s="7">
        <v>0.1</v>
      </c>
      <c r="Q115" s="6">
        <v>10.78</v>
      </c>
      <c r="R115" s="6">
        <v>5.15</v>
      </c>
      <c r="S115" s="6">
        <v>5.63</v>
      </c>
      <c r="T115" s="3" t="s">
        <v>63</v>
      </c>
    </row>
    <row r="116" spans="1:20">
      <c r="A116" s="3" t="s">
        <v>198</v>
      </c>
      <c r="B116" s="3" t="str">
        <f t="shared" si="6"/>
        <v>Feb</v>
      </c>
      <c r="C116" s="3" t="str">
        <f t="shared" si="7"/>
        <v>2025</v>
      </c>
      <c r="D116" s="3" t="str">
        <f t="shared" si="8"/>
        <v>Thursday</v>
      </c>
      <c r="E116" s="25">
        <v>45715</v>
      </c>
      <c r="F116" s="4" t="str">
        <f t="shared" si="9"/>
        <v>South</v>
      </c>
      <c r="G116" s="3" t="s">
        <v>56</v>
      </c>
      <c r="H116" s="3" t="s">
        <v>57</v>
      </c>
      <c r="I116" s="3" t="str">
        <f t="shared" si="10"/>
        <v>Wholesale</v>
      </c>
      <c r="J116" s="3" t="s">
        <v>45</v>
      </c>
      <c r="K116" s="3" t="s">
        <v>46</v>
      </c>
      <c r="L116" s="3" t="str">
        <f t="shared" si="11"/>
        <v>Laptop Stand</v>
      </c>
      <c r="M116" s="3" t="s">
        <v>116</v>
      </c>
      <c r="N116" s="5">
        <v>10</v>
      </c>
      <c r="O116" s="6">
        <v>22.49</v>
      </c>
      <c r="P116" s="7">
        <v>0</v>
      </c>
      <c r="Q116" s="6">
        <v>224.9</v>
      </c>
      <c r="R116" s="6">
        <v>112.45</v>
      </c>
      <c r="S116" s="6">
        <v>112.45</v>
      </c>
      <c r="T116" s="3" t="s">
        <v>54</v>
      </c>
    </row>
    <row r="117" spans="1:20">
      <c r="A117" s="3" t="s">
        <v>199</v>
      </c>
      <c r="B117" s="3" t="str">
        <f t="shared" si="6"/>
        <v>Apr</v>
      </c>
      <c r="C117" s="3" t="str">
        <f t="shared" si="7"/>
        <v>2026</v>
      </c>
      <c r="D117" s="3" t="str">
        <f t="shared" si="8"/>
        <v>Sunday</v>
      </c>
      <c r="E117" s="25">
        <v>46138</v>
      </c>
      <c r="F117" s="4" t="str">
        <f t="shared" si="9"/>
        <v>East</v>
      </c>
      <c r="G117" s="3" t="s">
        <v>61</v>
      </c>
      <c r="H117" s="3" t="s">
        <v>62</v>
      </c>
      <c r="I117" s="3" t="str">
        <f t="shared" si="10"/>
        <v>Online</v>
      </c>
      <c r="J117" s="3" t="s">
        <v>58</v>
      </c>
      <c r="K117" s="3" t="s">
        <v>84</v>
      </c>
      <c r="L117" s="3" t="str">
        <f t="shared" si="11"/>
        <v>Notebook Set</v>
      </c>
      <c r="M117" s="3" t="s">
        <v>85</v>
      </c>
      <c r="N117" s="5">
        <v>4</v>
      </c>
      <c r="O117" s="6">
        <v>9.11</v>
      </c>
      <c r="P117" s="7">
        <v>0.15</v>
      </c>
      <c r="Q117" s="6">
        <v>30.97</v>
      </c>
      <c r="R117" s="6">
        <v>14.58</v>
      </c>
      <c r="S117" s="6">
        <v>16.39</v>
      </c>
      <c r="T117" s="3" t="s">
        <v>48</v>
      </c>
    </row>
    <row r="118" spans="1:20">
      <c r="A118" s="3" t="s">
        <v>200</v>
      </c>
      <c r="B118" s="3" t="str">
        <f t="shared" si="6"/>
        <v>Apr</v>
      </c>
      <c r="C118" s="3" t="str">
        <f t="shared" si="7"/>
        <v>2025</v>
      </c>
      <c r="D118" s="3" t="str">
        <f t="shared" si="8"/>
        <v>Thursday</v>
      </c>
      <c r="E118" s="25">
        <v>45771</v>
      </c>
      <c r="F118" s="4" t="str">
        <f t="shared" si="9"/>
        <v>North</v>
      </c>
      <c r="G118" s="3" t="s">
        <v>50</v>
      </c>
      <c r="H118" s="3" t="s">
        <v>51</v>
      </c>
      <c r="I118" s="3" t="str">
        <f t="shared" si="10"/>
        <v>Corporate</v>
      </c>
      <c r="J118" s="3" t="s">
        <v>72</v>
      </c>
      <c r="K118" s="3" t="s">
        <v>84</v>
      </c>
      <c r="L118" s="3" t="str">
        <f t="shared" si="11"/>
        <v>Printer Paper</v>
      </c>
      <c r="M118" s="3" t="s">
        <v>96</v>
      </c>
      <c r="N118" s="5">
        <v>9</v>
      </c>
      <c r="O118" s="6">
        <v>10.039999999999999</v>
      </c>
      <c r="P118" s="7">
        <v>0.1</v>
      </c>
      <c r="Q118" s="6">
        <v>81.319999999999993</v>
      </c>
      <c r="R118" s="6">
        <v>34.340000000000003</v>
      </c>
      <c r="S118" s="6">
        <v>46.98</v>
      </c>
      <c r="T118" s="3" t="s">
        <v>54</v>
      </c>
    </row>
    <row r="119" spans="1:20">
      <c r="A119" s="3" t="s">
        <v>201</v>
      </c>
      <c r="B119" s="3" t="str">
        <f t="shared" si="6"/>
        <v>Aug</v>
      </c>
      <c r="C119" s="3" t="str">
        <f t="shared" si="7"/>
        <v>2026</v>
      </c>
      <c r="D119" s="3" t="str">
        <f t="shared" si="8"/>
        <v>Saturday</v>
      </c>
      <c r="E119" s="25">
        <v>46235</v>
      </c>
      <c r="F119" s="4" t="str">
        <f t="shared" si="9"/>
        <v>South</v>
      </c>
      <c r="G119" s="3" t="s">
        <v>56</v>
      </c>
      <c r="H119" s="3" t="s">
        <v>57</v>
      </c>
      <c r="I119" s="3" t="str">
        <f t="shared" si="10"/>
        <v>Wholesale</v>
      </c>
      <c r="J119" s="3" t="s">
        <v>45</v>
      </c>
      <c r="K119" s="3" t="s">
        <v>46</v>
      </c>
      <c r="L119" s="3" t="str">
        <f t="shared" si="11"/>
        <v>Usb-C Hub</v>
      </c>
      <c r="M119" s="3" t="s">
        <v>93</v>
      </c>
      <c r="N119" s="5">
        <v>3</v>
      </c>
      <c r="O119" s="6">
        <v>23.48</v>
      </c>
      <c r="P119" s="7">
        <v>0.05</v>
      </c>
      <c r="Q119" s="6">
        <v>66.92</v>
      </c>
      <c r="R119" s="6">
        <v>38.74</v>
      </c>
      <c r="S119" s="6">
        <v>28.18</v>
      </c>
      <c r="T119" s="3" t="s">
        <v>48</v>
      </c>
    </row>
    <row r="120" spans="1:20">
      <c r="A120" s="3" t="s">
        <v>202</v>
      </c>
      <c r="B120" s="3" t="str">
        <f t="shared" si="6"/>
        <v>Jan</v>
      </c>
      <c r="C120" s="3" t="str">
        <f t="shared" si="7"/>
        <v>2025</v>
      </c>
      <c r="D120" s="3" t="str">
        <f t="shared" si="8"/>
        <v>Wednesday</v>
      </c>
      <c r="E120" s="25">
        <v>45658</v>
      </c>
      <c r="F120" s="4" t="str">
        <f t="shared" si="9"/>
        <v>West</v>
      </c>
      <c r="G120" s="3" t="s">
        <v>67</v>
      </c>
      <c r="H120" s="3" t="s">
        <v>68</v>
      </c>
      <c r="I120" s="3" t="str">
        <f t="shared" si="10"/>
        <v>Wholesale</v>
      </c>
      <c r="J120" s="3" t="s">
        <v>45</v>
      </c>
      <c r="K120" s="3" t="s">
        <v>69</v>
      </c>
      <c r="L120" s="3" t="str">
        <f t="shared" si="11"/>
        <v>Standing Desk</v>
      </c>
      <c r="M120" s="3" t="s">
        <v>81</v>
      </c>
      <c r="N120" s="5">
        <v>1</v>
      </c>
      <c r="O120" s="6">
        <v>259.29000000000002</v>
      </c>
      <c r="P120" s="7">
        <v>0.1</v>
      </c>
      <c r="Q120" s="6">
        <v>233.36</v>
      </c>
      <c r="R120" s="6">
        <v>155.57</v>
      </c>
      <c r="S120" s="6">
        <v>77.790000000000006</v>
      </c>
      <c r="T120" s="3" t="s">
        <v>48</v>
      </c>
    </row>
    <row r="121" spans="1:20">
      <c r="A121" s="3" t="s">
        <v>203</v>
      </c>
      <c r="B121" s="3" t="str">
        <f t="shared" si="6"/>
        <v>May</v>
      </c>
      <c r="C121" s="3" t="str">
        <f t="shared" si="7"/>
        <v>2026</v>
      </c>
      <c r="D121" s="3" t="str">
        <f t="shared" si="8"/>
        <v>Wednesday</v>
      </c>
      <c r="E121" s="25">
        <v>46148</v>
      </c>
      <c r="F121" s="4" t="str">
        <f t="shared" si="9"/>
        <v>North</v>
      </c>
      <c r="G121" s="3" t="s">
        <v>50</v>
      </c>
      <c r="H121" s="3" t="s">
        <v>51</v>
      </c>
      <c r="I121" s="3" t="str">
        <f t="shared" si="10"/>
        <v>Retail</v>
      </c>
      <c r="J121" s="3" t="s">
        <v>90</v>
      </c>
      <c r="K121" s="3" t="s">
        <v>84</v>
      </c>
      <c r="L121" s="3" t="str">
        <f t="shared" si="11"/>
        <v>Printer Paper</v>
      </c>
      <c r="M121" s="3" t="s">
        <v>96</v>
      </c>
      <c r="N121" s="5">
        <v>5</v>
      </c>
      <c r="O121" s="6">
        <v>10.77</v>
      </c>
      <c r="P121" s="7">
        <v>0.15</v>
      </c>
      <c r="Q121" s="6">
        <v>45.77</v>
      </c>
      <c r="R121" s="6">
        <v>20.46</v>
      </c>
      <c r="S121" s="6">
        <v>25.31</v>
      </c>
      <c r="T121" s="3" t="s">
        <v>65</v>
      </c>
    </row>
    <row r="122" spans="1:20">
      <c r="A122" s="3" t="s">
        <v>204</v>
      </c>
      <c r="B122" s="3" t="str">
        <f t="shared" si="6"/>
        <v>Sep</v>
      </c>
      <c r="C122" s="3" t="str">
        <f t="shared" si="7"/>
        <v>2025</v>
      </c>
      <c r="D122" s="3" t="str">
        <f t="shared" si="8"/>
        <v>Sunday</v>
      </c>
      <c r="E122" s="25">
        <v>45907</v>
      </c>
      <c r="F122" s="4" t="str">
        <f t="shared" si="9"/>
        <v>West</v>
      </c>
      <c r="G122" s="3" t="s">
        <v>67</v>
      </c>
      <c r="H122" s="3" t="s">
        <v>68</v>
      </c>
      <c r="I122" s="3" t="str">
        <f t="shared" si="10"/>
        <v>Retail</v>
      </c>
      <c r="J122" s="3" t="s">
        <v>90</v>
      </c>
      <c r="K122" s="3" t="s">
        <v>84</v>
      </c>
      <c r="L122" s="3" t="str">
        <f t="shared" si="11"/>
        <v>Printer Paper</v>
      </c>
      <c r="M122" s="3" t="s">
        <v>96</v>
      </c>
      <c r="N122" s="5">
        <v>1</v>
      </c>
      <c r="O122" s="6">
        <v>12.86</v>
      </c>
      <c r="P122" s="7">
        <v>0.05</v>
      </c>
      <c r="Q122" s="6">
        <v>12.22</v>
      </c>
      <c r="R122" s="6">
        <v>4.8899999999999997</v>
      </c>
      <c r="S122" s="6">
        <v>7.33</v>
      </c>
      <c r="T122" s="3" t="s">
        <v>54</v>
      </c>
    </row>
    <row r="123" spans="1:20">
      <c r="A123" s="3" t="s">
        <v>205</v>
      </c>
      <c r="B123" s="3" t="str">
        <f t="shared" si="6"/>
        <v>Jul</v>
      </c>
      <c r="C123" s="3" t="str">
        <f t="shared" si="7"/>
        <v>2026</v>
      </c>
      <c r="D123" s="3" t="str">
        <f t="shared" si="8"/>
        <v>Friday</v>
      </c>
      <c r="E123" s="25">
        <v>46206</v>
      </c>
      <c r="F123" s="4" t="str">
        <f t="shared" si="9"/>
        <v>Central</v>
      </c>
      <c r="G123" s="3" t="s">
        <v>74</v>
      </c>
      <c r="H123" s="3" t="s">
        <v>44</v>
      </c>
      <c r="I123" s="3" t="str">
        <f t="shared" si="10"/>
        <v>Online</v>
      </c>
      <c r="J123" s="3" t="s">
        <v>58</v>
      </c>
      <c r="K123" s="3" t="s">
        <v>46</v>
      </c>
      <c r="L123" s="3" t="str">
        <f t="shared" si="11"/>
        <v>Usb-C Hub</v>
      </c>
      <c r="M123" s="3" t="s">
        <v>93</v>
      </c>
      <c r="N123" s="5">
        <v>11</v>
      </c>
      <c r="O123" s="6">
        <v>23.8</v>
      </c>
      <c r="P123" s="7">
        <v>0.15</v>
      </c>
      <c r="Q123" s="6">
        <v>222.53</v>
      </c>
      <c r="R123" s="6">
        <v>143.99</v>
      </c>
      <c r="S123" s="6">
        <v>78.540000000000006</v>
      </c>
      <c r="T123" s="3" t="s">
        <v>48</v>
      </c>
    </row>
    <row r="124" spans="1:20">
      <c r="A124" s="3" t="s">
        <v>206</v>
      </c>
      <c r="B124" s="3" t="str">
        <f t="shared" si="6"/>
        <v>Sep</v>
      </c>
      <c r="C124" s="3" t="str">
        <f t="shared" si="7"/>
        <v>2025</v>
      </c>
      <c r="D124" s="3" t="str">
        <f t="shared" si="8"/>
        <v>Tuesday</v>
      </c>
      <c r="E124" s="25">
        <v>45916</v>
      </c>
      <c r="F124" s="4" t="str">
        <f t="shared" si="9"/>
        <v>Central</v>
      </c>
      <c r="G124" s="3" t="s">
        <v>74</v>
      </c>
      <c r="H124" s="3" t="s">
        <v>44</v>
      </c>
      <c r="I124" s="3" t="str">
        <f t="shared" si="10"/>
        <v>Wholesale</v>
      </c>
      <c r="J124" s="3" t="s">
        <v>45</v>
      </c>
      <c r="K124" s="3" t="s">
        <v>52</v>
      </c>
      <c r="L124" s="3" t="str">
        <f t="shared" si="11"/>
        <v>Water Bottle</v>
      </c>
      <c r="M124" s="3" t="s">
        <v>53</v>
      </c>
      <c r="N124" s="5">
        <v>10</v>
      </c>
      <c r="O124" s="6">
        <v>9.0299999999999994</v>
      </c>
      <c r="P124" s="7">
        <v>0.05</v>
      </c>
      <c r="Q124" s="6">
        <v>85.79</v>
      </c>
      <c r="R124" s="6">
        <v>38.83</v>
      </c>
      <c r="S124" s="6">
        <v>46.96</v>
      </c>
      <c r="T124" s="3" t="s">
        <v>77</v>
      </c>
    </row>
    <row r="125" spans="1:20">
      <c r="A125" s="3" t="s">
        <v>207</v>
      </c>
      <c r="B125" s="3" t="str">
        <f t="shared" si="6"/>
        <v>Aug</v>
      </c>
      <c r="C125" s="3" t="str">
        <f t="shared" si="7"/>
        <v>2026</v>
      </c>
      <c r="D125" s="3" t="str">
        <f t="shared" si="8"/>
        <v>Tuesday</v>
      </c>
      <c r="E125" s="25">
        <v>46245</v>
      </c>
      <c r="F125" s="4" t="str">
        <f t="shared" si="9"/>
        <v>North</v>
      </c>
      <c r="G125" s="3" t="s">
        <v>121</v>
      </c>
      <c r="H125" s="3" t="s">
        <v>51</v>
      </c>
      <c r="I125" s="3" t="str">
        <f t="shared" si="10"/>
        <v>Retail</v>
      </c>
      <c r="J125" s="3" t="s">
        <v>90</v>
      </c>
      <c r="K125" s="3" t="s">
        <v>46</v>
      </c>
      <c r="L125" s="3" t="str">
        <f t="shared" si="11"/>
        <v>Wireless Mouse</v>
      </c>
      <c r="M125" s="3" t="s">
        <v>75</v>
      </c>
      <c r="N125" s="5">
        <v>11</v>
      </c>
      <c r="O125" s="6">
        <v>18.97</v>
      </c>
      <c r="P125" s="7">
        <v>0</v>
      </c>
      <c r="Q125" s="6">
        <v>208.67</v>
      </c>
      <c r="R125" s="6">
        <v>100.16</v>
      </c>
      <c r="S125" s="6">
        <v>108.51</v>
      </c>
      <c r="T125" s="3" t="s">
        <v>88</v>
      </c>
    </row>
    <row r="126" spans="1:20">
      <c r="A126" s="3" t="s">
        <v>208</v>
      </c>
      <c r="B126" s="3" t="str">
        <f t="shared" si="6"/>
        <v>Oct</v>
      </c>
      <c r="C126" s="3" t="str">
        <f t="shared" si="7"/>
        <v>2025</v>
      </c>
      <c r="D126" s="3" t="str">
        <f t="shared" si="8"/>
        <v>Monday</v>
      </c>
      <c r="E126" s="25">
        <v>45943</v>
      </c>
      <c r="F126" s="4" t="str">
        <f t="shared" si="9"/>
        <v>North</v>
      </c>
      <c r="G126" s="3" t="s">
        <v>50</v>
      </c>
      <c r="H126" s="3" t="s">
        <v>51</v>
      </c>
      <c r="I126" s="3" t="str">
        <f t="shared" si="10"/>
        <v>Online</v>
      </c>
      <c r="J126" s="3" t="s">
        <v>58</v>
      </c>
      <c r="K126" s="3" t="s">
        <v>84</v>
      </c>
      <c r="L126" s="3" t="str">
        <f t="shared" si="11"/>
        <v>Desk Organizer</v>
      </c>
      <c r="M126" s="3" t="s">
        <v>134</v>
      </c>
      <c r="N126" s="5">
        <v>7</v>
      </c>
      <c r="O126" s="6">
        <v>16.09</v>
      </c>
      <c r="P126" s="7">
        <v>0.15</v>
      </c>
      <c r="Q126" s="6">
        <v>95.74</v>
      </c>
      <c r="R126" s="6">
        <v>51.81</v>
      </c>
      <c r="S126" s="6">
        <v>43.93</v>
      </c>
      <c r="T126" s="3" t="s">
        <v>65</v>
      </c>
    </row>
    <row r="127" spans="1:20">
      <c r="A127" s="3" t="s">
        <v>209</v>
      </c>
      <c r="B127" s="3" t="str">
        <f t="shared" si="6"/>
        <v>Mar</v>
      </c>
      <c r="C127" s="3" t="str">
        <f t="shared" si="7"/>
        <v>2026</v>
      </c>
      <c r="D127" s="3" t="str">
        <f t="shared" si="8"/>
        <v>Thursday</v>
      </c>
      <c r="E127" s="25">
        <v>46086</v>
      </c>
      <c r="F127" s="4" t="str">
        <f t="shared" si="9"/>
        <v>West</v>
      </c>
      <c r="G127" s="3" t="s">
        <v>67</v>
      </c>
      <c r="H127" s="3" t="s">
        <v>68</v>
      </c>
      <c r="I127" s="3" t="str">
        <f t="shared" si="10"/>
        <v>Corporate</v>
      </c>
      <c r="J127" s="3" t="s">
        <v>72</v>
      </c>
      <c r="K127" s="3" t="s">
        <v>52</v>
      </c>
      <c r="L127" s="3" t="str">
        <f t="shared" si="11"/>
        <v>Keyboard Cover</v>
      </c>
      <c r="M127" s="3" t="s">
        <v>59</v>
      </c>
      <c r="N127" s="5">
        <v>6</v>
      </c>
      <c r="O127" s="6">
        <v>10.91</v>
      </c>
      <c r="P127" s="7">
        <v>0.05</v>
      </c>
      <c r="Q127" s="6">
        <v>62.19</v>
      </c>
      <c r="R127" s="6">
        <v>26.84</v>
      </c>
      <c r="S127" s="6">
        <v>35.35</v>
      </c>
      <c r="T127" s="3" t="s">
        <v>65</v>
      </c>
    </row>
    <row r="128" spans="1:20">
      <c r="A128" s="3" t="s">
        <v>210</v>
      </c>
      <c r="B128" s="3" t="str">
        <f t="shared" si="6"/>
        <v>Oct</v>
      </c>
      <c r="C128" s="3" t="str">
        <f t="shared" si="7"/>
        <v>2025</v>
      </c>
      <c r="D128" s="3" t="str">
        <f t="shared" si="8"/>
        <v>Tuesday</v>
      </c>
      <c r="E128" s="25">
        <v>45937</v>
      </c>
      <c r="F128" s="4" t="str">
        <f t="shared" si="9"/>
        <v>South</v>
      </c>
      <c r="G128" s="3" t="s">
        <v>56</v>
      </c>
      <c r="H128" s="3" t="s">
        <v>57</v>
      </c>
      <c r="I128" s="3" t="str">
        <f t="shared" si="10"/>
        <v>Wholesale</v>
      </c>
      <c r="J128" s="3" t="s">
        <v>45</v>
      </c>
      <c r="K128" s="3" t="s">
        <v>84</v>
      </c>
      <c r="L128" s="3" t="str">
        <f t="shared" si="11"/>
        <v>Desk Organizer</v>
      </c>
      <c r="M128" s="3" t="s">
        <v>134</v>
      </c>
      <c r="N128" s="5">
        <v>9</v>
      </c>
      <c r="O128" s="6">
        <v>14.11</v>
      </c>
      <c r="P128" s="7">
        <v>0.1</v>
      </c>
      <c r="Q128" s="6">
        <v>114.29</v>
      </c>
      <c r="R128" s="6">
        <v>58.42</v>
      </c>
      <c r="S128" s="6">
        <v>55.87</v>
      </c>
      <c r="T128" s="3" t="s">
        <v>88</v>
      </c>
    </row>
    <row r="129" spans="1:20">
      <c r="A129" s="3" t="s">
        <v>211</v>
      </c>
      <c r="B129" s="3" t="str">
        <f t="shared" si="6"/>
        <v>Jan</v>
      </c>
      <c r="C129" s="3" t="str">
        <f t="shared" si="7"/>
        <v>2026</v>
      </c>
      <c r="D129" s="3" t="str">
        <f t="shared" si="8"/>
        <v>Sunday</v>
      </c>
      <c r="E129" s="25">
        <v>46026</v>
      </c>
      <c r="F129" s="4" t="str">
        <f t="shared" si="9"/>
        <v>Central</v>
      </c>
      <c r="G129" s="3" t="s">
        <v>74</v>
      </c>
      <c r="H129" s="3" t="s">
        <v>44</v>
      </c>
      <c r="I129" s="3" t="str">
        <f t="shared" si="10"/>
        <v>Wholesale</v>
      </c>
      <c r="J129" s="3" t="s">
        <v>45</v>
      </c>
      <c r="K129" s="3" t="s">
        <v>69</v>
      </c>
      <c r="L129" s="3" t="str">
        <f t="shared" si="11"/>
        <v>Bookshelf</v>
      </c>
      <c r="M129" s="3" t="s">
        <v>70</v>
      </c>
      <c r="N129" s="5">
        <v>3</v>
      </c>
      <c r="O129" s="6">
        <v>94.82</v>
      </c>
      <c r="P129" s="7">
        <v>0.05</v>
      </c>
      <c r="Q129" s="6">
        <v>270.24</v>
      </c>
      <c r="R129" s="6">
        <v>147.91999999999999</v>
      </c>
      <c r="S129" s="6">
        <v>122.32</v>
      </c>
      <c r="T129" s="3" t="s">
        <v>63</v>
      </c>
    </row>
    <row r="130" spans="1:20">
      <c r="A130" s="3" t="s">
        <v>212</v>
      </c>
      <c r="B130" s="3" t="str">
        <f t="shared" ref="B130:B193" si="12">TEXT(E:E,"mmm")</f>
        <v>Oct</v>
      </c>
      <c r="C130" s="3" t="str">
        <f t="shared" ref="C130:C193" si="13">TEXT(E:E,"YYYY")</f>
        <v>2025</v>
      </c>
      <c r="D130" s="3" t="str">
        <f t="shared" ref="D130:D193" si="14">TEXT(E:E,"DDDD")</f>
        <v>Monday</v>
      </c>
      <c r="E130" s="25">
        <v>45957</v>
      </c>
      <c r="F130" s="4" t="str">
        <f t="shared" ref="F130:F193" si="15">PROPER(G:G)</f>
        <v>South</v>
      </c>
      <c r="G130" s="3" t="s">
        <v>56</v>
      </c>
      <c r="H130" s="3" t="s">
        <v>57</v>
      </c>
      <c r="I130" s="3" t="str">
        <f t="shared" ref="I130:I193" si="16">PROPER(J:J)</f>
        <v>Wholesale</v>
      </c>
      <c r="J130" s="3" t="s">
        <v>45</v>
      </c>
      <c r="K130" s="3" t="s">
        <v>46</v>
      </c>
      <c r="L130" s="3" t="str">
        <f t="shared" ref="L130:L193" si="17">PROPER(TRIM(M:M))</f>
        <v>Usb-C Hub</v>
      </c>
      <c r="M130" s="3" t="s">
        <v>93</v>
      </c>
      <c r="N130" s="5">
        <v>2</v>
      </c>
      <c r="O130" s="6">
        <v>26.74</v>
      </c>
      <c r="P130" s="7">
        <v>0.15</v>
      </c>
      <c r="Q130" s="6">
        <v>45.46</v>
      </c>
      <c r="R130" s="6">
        <v>29.41</v>
      </c>
      <c r="S130" s="6">
        <v>16.05</v>
      </c>
      <c r="T130" s="3" t="s">
        <v>48</v>
      </c>
    </row>
    <row r="131" spans="1:20">
      <c r="A131" s="3" t="s">
        <v>213</v>
      </c>
      <c r="B131" s="3" t="str">
        <f t="shared" si="12"/>
        <v>Nov</v>
      </c>
      <c r="C131" s="3" t="str">
        <f t="shared" si="13"/>
        <v>2026</v>
      </c>
      <c r="D131" s="3" t="str">
        <f t="shared" si="14"/>
        <v>Tuesday</v>
      </c>
      <c r="E131" s="25">
        <v>46343</v>
      </c>
      <c r="F131" s="4" t="str">
        <f t="shared" si="15"/>
        <v>South</v>
      </c>
      <c r="G131" s="3" t="s">
        <v>56</v>
      </c>
      <c r="H131" s="3" t="s">
        <v>57</v>
      </c>
      <c r="I131" s="3" t="str">
        <f t="shared" si="16"/>
        <v>Online</v>
      </c>
      <c r="J131" s="3" t="s">
        <v>58</v>
      </c>
      <c r="K131" s="3" t="s">
        <v>69</v>
      </c>
      <c r="L131" s="3" t="str">
        <f t="shared" si="17"/>
        <v>Bookshelf</v>
      </c>
      <c r="M131" s="3" t="s">
        <v>70</v>
      </c>
      <c r="N131" s="5">
        <v>1</v>
      </c>
      <c r="O131" s="6">
        <v>93.01</v>
      </c>
      <c r="P131" s="7">
        <v>0.05</v>
      </c>
      <c r="Q131" s="6">
        <v>88.36</v>
      </c>
      <c r="R131" s="6">
        <v>48.37</v>
      </c>
      <c r="S131" s="6">
        <v>39.99</v>
      </c>
      <c r="T131" s="3" t="s">
        <v>63</v>
      </c>
    </row>
    <row r="132" spans="1:20">
      <c r="A132" s="3" t="s">
        <v>214</v>
      </c>
      <c r="B132" s="3" t="str">
        <f t="shared" si="12"/>
        <v>Jan</v>
      </c>
      <c r="C132" s="3" t="str">
        <f t="shared" si="13"/>
        <v>2025</v>
      </c>
      <c r="D132" s="3" t="str">
        <f t="shared" si="14"/>
        <v>Tuesday</v>
      </c>
      <c r="E132" s="25">
        <v>45685</v>
      </c>
      <c r="F132" s="4" t="str">
        <f t="shared" si="15"/>
        <v>South</v>
      </c>
      <c r="G132" s="3" t="s">
        <v>56</v>
      </c>
      <c r="H132" s="3" t="s">
        <v>57</v>
      </c>
      <c r="I132" s="3" t="str">
        <f t="shared" si="16"/>
        <v>Corporate</v>
      </c>
      <c r="J132" s="3" t="s">
        <v>72</v>
      </c>
      <c r="K132" s="3" t="s">
        <v>69</v>
      </c>
      <c r="L132" s="3" t="str">
        <f t="shared" si="17"/>
        <v>Bookshelf</v>
      </c>
      <c r="M132" s="3" t="s">
        <v>70</v>
      </c>
      <c r="N132" s="5">
        <v>8</v>
      </c>
      <c r="O132" s="6">
        <v>93.13</v>
      </c>
      <c r="P132" s="7">
        <v>0.15</v>
      </c>
      <c r="Q132" s="6">
        <v>633.28</v>
      </c>
      <c r="R132" s="6">
        <v>387.42</v>
      </c>
      <c r="S132" s="6">
        <v>245.86</v>
      </c>
      <c r="T132" s="3" t="s">
        <v>63</v>
      </c>
    </row>
    <row r="133" spans="1:20">
      <c r="A133" s="3" t="s">
        <v>215</v>
      </c>
      <c r="B133" s="3" t="str">
        <f t="shared" si="12"/>
        <v>Aug</v>
      </c>
      <c r="C133" s="3" t="str">
        <f t="shared" si="13"/>
        <v>2026</v>
      </c>
      <c r="D133" s="3" t="str">
        <f t="shared" si="14"/>
        <v>Sunday</v>
      </c>
      <c r="E133" s="25">
        <v>46250</v>
      </c>
      <c r="F133" s="4" t="str">
        <f t="shared" si="15"/>
        <v>Central</v>
      </c>
      <c r="G133" s="3" t="s">
        <v>74</v>
      </c>
      <c r="H133" s="3" t="s">
        <v>44</v>
      </c>
      <c r="I133" s="3" t="str">
        <f t="shared" si="16"/>
        <v>Retail</v>
      </c>
      <c r="J133" s="3" t="s">
        <v>90</v>
      </c>
      <c r="K133" s="3" t="s">
        <v>46</v>
      </c>
      <c r="L133" s="3" t="str">
        <f t="shared" si="17"/>
        <v>Wireless Mouse</v>
      </c>
      <c r="M133" s="3" t="s">
        <v>75</v>
      </c>
      <c r="N133" s="5">
        <v>9</v>
      </c>
      <c r="O133" s="6">
        <v>17.809999999999999</v>
      </c>
      <c r="P133" s="7">
        <v>0</v>
      </c>
      <c r="Q133" s="6">
        <v>160.29</v>
      </c>
      <c r="R133" s="6">
        <v>76.94</v>
      </c>
      <c r="S133" s="6">
        <v>83.35</v>
      </c>
      <c r="T133" s="3" t="s">
        <v>48</v>
      </c>
    </row>
    <row r="134" spans="1:20">
      <c r="A134" s="3" t="s">
        <v>216</v>
      </c>
      <c r="B134" s="3" t="str">
        <f t="shared" si="12"/>
        <v>Nov</v>
      </c>
      <c r="C134" s="3" t="str">
        <f t="shared" si="13"/>
        <v>2025</v>
      </c>
      <c r="D134" s="3" t="str">
        <f t="shared" si="14"/>
        <v>Tuesday</v>
      </c>
      <c r="E134" s="25">
        <v>45986</v>
      </c>
      <c r="F134" s="4" t="str">
        <f t="shared" si="15"/>
        <v>East</v>
      </c>
      <c r="G134" s="3" t="s">
        <v>61</v>
      </c>
      <c r="H134" s="3" t="s">
        <v>62</v>
      </c>
      <c r="I134" s="3" t="str">
        <f t="shared" si="16"/>
        <v>Corporate</v>
      </c>
      <c r="J134" s="3" t="s">
        <v>72</v>
      </c>
      <c r="K134" s="3" t="s">
        <v>69</v>
      </c>
      <c r="L134" s="3" t="str">
        <f t="shared" si="17"/>
        <v>Bookshelf</v>
      </c>
      <c r="M134" s="3" t="s">
        <v>70</v>
      </c>
      <c r="N134" s="5">
        <v>12</v>
      </c>
      <c r="O134" s="6">
        <v>93.95</v>
      </c>
      <c r="P134" s="7">
        <v>0</v>
      </c>
      <c r="Q134" s="6">
        <v>1127.4000000000001</v>
      </c>
      <c r="R134" s="6">
        <v>586.25</v>
      </c>
      <c r="S134" s="6">
        <v>541.15</v>
      </c>
      <c r="T134" s="3" t="s">
        <v>77</v>
      </c>
    </row>
    <row r="135" spans="1:20">
      <c r="A135" s="3" t="s">
        <v>217</v>
      </c>
      <c r="B135" s="3" t="str">
        <f t="shared" si="12"/>
        <v>Mar</v>
      </c>
      <c r="C135" s="3" t="str">
        <f t="shared" si="13"/>
        <v>2026</v>
      </c>
      <c r="D135" s="3" t="str">
        <f t="shared" si="14"/>
        <v>Monday</v>
      </c>
      <c r="E135" s="25">
        <v>46097</v>
      </c>
      <c r="F135" s="4" t="str">
        <f t="shared" si="15"/>
        <v>East</v>
      </c>
      <c r="G135" s="3" t="s">
        <v>61</v>
      </c>
      <c r="H135" s="3" t="s">
        <v>62</v>
      </c>
      <c r="I135" s="3" t="str">
        <f t="shared" si="16"/>
        <v>Retail</v>
      </c>
      <c r="J135" s="3" t="s">
        <v>90</v>
      </c>
      <c r="K135" s="3" t="s">
        <v>69</v>
      </c>
      <c r="L135" s="3" t="str">
        <f t="shared" si="17"/>
        <v>Bookshelf</v>
      </c>
      <c r="M135" s="3" t="s">
        <v>70</v>
      </c>
      <c r="N135" s="5">
        <v>2</v>
      </c>
      <c r="O135" s="6">
        <v>94.21</v>
      </c>
      <c r="P135" s="7">
        <v>0</v>
      </c>
      <c r="Q135" s="6">
        <v>188.42</v>
      </c>
      <c r="R135" s="6">
        <v>97.98</v>
      </c>
      <c r="S135" s="6">
        <v>90.44</v>
      </c>
      <c r="T135" s="3" t="s">
        <v>54</v>
      </c>
    </row>
    <row r="136" spans="1:20">
      <c r="A136" s="3" t="s">
        <v>218</v>
      </c>
      <c r="B136" s="3" t="str">
        <f t="shared" si="12"/>
        <v>Aug</v>
      </c>
      <c r="C136" s="3" t="str">
        <f t="shared" si="13"/>
        <v>2025</v>
      </c>
      <c r="D136" s="3" t="str">
        <f t="shared" si="14"/>
        <v>Thursday</v>
      </c>
      <c r="E136" s="25">
        <v>45876</v>
      </c>
      <c r="F136" s="4" t="str">
        <f t="shared" si="15"/>
        <v>Central</v>
      </c>
      <c r="G136" s="3" t="s">
        <v>74</v>
      </c>
      <c r="H136" s="3" t="s">
        <v>44</v>
      </c>
      <c r="I136" s="3" t="str">
        <f t="shared" si="16"/>
        <v>Online</v>
      </c>
      <c r="J136" s="3" t="s">
        <v>58</v>
      </c>
      <c r="K136" s="3" t="s">
        <v>52</v>
      </c>
      <c r="L136" s="3" t="str">
        <f t="shared" si="17"/>
        <v>Keyboard Cover</v>
      </c>
      <c r="M136" s="3" t="s">
        <v>59</v>
      </c>
      <c r="N136" s="5">
        <v>9</v>
      </c>
      <c r="O136" s="6">
        <v>10.38</v>
      </c>
      <c r="P136" s="7">
        <v>0.15</v>
      </c>
      <c r="Q136" s="6">
        <v>79.41</v>
      </c>
      <c r="R136" s="6">
        <v>38.299999999999997</v>
      </c>
      <c r="S136" s="6">
        <v>41.11</v>
      </c>
      <c r="T136" s="3" t="s">
        <v>77</v>
      </c>
    </row>
    <row r="137" spans="1:20">
      <c r="A137" s="3" t="s">
        <v>219</v>
      </c>
      <c r="B137" s="3" t="str">
        <f t="shared" si="12"/>
        <v>Jun</v>
      </c>
      <c r="C137" s="3" t="str">
        <f t="shared" si="13"/>
        <v>2026</v>
      </c>
      <c r="D137" s="3" t="str">
        <f t="shared" si="14"/>
        <v>Friday</v>
      </c>
      <c r="E137" s="25">
        <v>46178</v>
      </c>
      <c r="F137" s="4" t="str">
        <f t="shared" si="15"/>
        <v>South</v>
      </c>
      <c r="G137" s="3" t="s">
        <v>56</v>
      </c>
      <c r="H137" s="3" t="s">
        <v>57</v>
      </c>
      <c r="I137" s="3" t="str">
        <f t="shared" si="16"/>
        <v>Corporate</v>
      </c>
      <c r="J137" s="3" t="s">
        <v>72</v>
      </c>
      <c r="K137" s="3" t="s">
        <v>46</v>
      </c>
      <c r="L137" s="3" t="str">
        <f t="shared" si="17"/>
        <v>Laptop Stand</v>
      </c>
      <c r="M137" s="3" t="s">
        <v>116</v>
      </c>
      <c r="N137" s="5">
        <v>6</v>
      </c>
      <c r="O137" s="6">
        <v>22.08</v>
      </c>
      <c r="P137" s="7">
        <v>0</v>
      </c>
      <c r="Q137" s="6">
        <v>132.47999999999999</v>
      </c>
      <c r="R137" s="6">
        <v>66.239999999999995</v>
      </c>
      <c r="S137" s="6">
        <v>66.239999999999995</v>
      </c>
      <c r="T137" s="3" t="s">
        <v>54</v>
      </c>
    </row>
    <row r="138" spans="1:20">
      <c r="A138" s="3" t="s">
        <v>220</v>
      </c>
      <c r="B138" s="3" t="str">
        <f t="shared" si="12"/>
        <v>Jan</v>
      </c>
      <c r="C138" s="3" t="str">
        <f t="shared" si="13"/>
        <v>2025</v>
      </c>
      <c r="D138" s="3" t="str">
        <f t="shared" si="14"/>
        <v>Monday</v>
      </c>
      <c r="E138" s="25">
        <v>45684</v>
      </c>
      <c r="F138" s="4" t="str">
        <f t="shared" si="15"/>
        <v>North</v>
      </c>
      <c r="G138" s="3" t="s">
        <v>50</v>
      </c>
      <c r="H138" s="3" t="s">
        <v>51</v>
      </c>
      <c r="I138" s="3" t="str">
        <f t="shared" si="16"/>
        <v>Retail</v>
      </c>
      <c r="J138" s="3" t="s">
        <v>90</v>
      </c>
      <c r="K138" s="3" t="s">
        <v>46</v>
      </c>
      <c r="L138" s="3" t="str">
        <f t="shared" si="17"/>
        <v>Laptop Stand</v>
      </c>
      <c r="M138" s="3" t="s">
        <v>116</v>
      </c>
      <c r="N138" s="5">
        <v>4</v>
      </c>
      <c r="O138" s="6">
        <v>20.16</v>
      </c>
      <c r="P138" s="7">
        <v>0.1</v>
      </c>
      <c r="Q138" s="6">
        <v>72.58</v>
      </c>
      <c r="R138" s="6">
        <v>40.32</v>
      </c>
      <c r="S138" s="6">
        <v>32.26</v>
      </c>
      <c r="T138" s="3" t="s">
        <v>63</v>
      </c>
    </row>
    <row r="139" spans="1:20">
      <c r="A139" s="3" t="s">
        <v>221</v>
      </c>
      <c r="B139" s="3" t="str">
        <f t="shared" si="12"/>
        <v>Nov</v>
      </c>
      <c r="C139" s="3" t="str">
        <f t="shared" si="13"/>
        <v>2026</v>
      </c>
      <c r="D139" s="3" t="str">
        <f t="shared" si="14"/>
        <v>Saturday</v>
      </c>
      <c r="E139" s="25">
        <v>46333</v>
      </c>
      <c r="F139" s="4" t="str">
        <f t="shared" si="15"/>
        <v>Central</v>
      </c>
      <c r="G139" s="3" t="s">
        <v>74</v>
      </c>
      <c r="H139" s="3" t="s">
        <v>44</v>
      </c>
      <c r="I139" s="3" t="str">
        <f t="shared" si="16"/>
        <v>Retail</v>
      </c>
      <c r="J139" s="3" t="s">
        <v>90</v>
      </c>
      <c r="K139" s="3" t="s">
        <v>69</v>
      </c>
      <c r="L139" s="3" t="str">
        <f t="shared" si="17"/>
        <v>Standing Desk</v>
      </c>
      <c r="M139" s="3" t="s">
        <v>81</v>
      </c>
      <c r="N139" s="5">
        <v>3</v>
      </c>
      <c r="O139" s="6">
        <v>258.33</v>
      </c>
      <c r="P139" s="7">
        <v>0.1</v>
      </c>
      <c r="Q139" s="6">
        <v>697.49</v>
      </c>
      <c r="R139" s="6">
        <v>464.99</v>
      </c>
      <c r="S139" s="6">
        <v>232.5</v>
      </c>
      <c r="T139" s="3" t="s">
        <v>65</v>
      </c>
    </row>
    <row r="140" spans="1:20">
      <c r="A140" s="3" t="s">
        <v>222</v>
      </c>
      <c r="B140" s="3" t="str">
        <f t="shared" si="12"/>
        <v>Nov</v>
      </c>
      <c r="C140" s="3" t="str">
        <f t="shared" si="13"/>
        <v>2025</v>
      </c>
      <c r="D140" s="3" t="str">
        <f t="shared" si="14"/>
        <v>Sunday</v>
      </c>
      <c r="E140" s="25">
        <v>45984</v>
      </c>
      <c r="F140" s="4" t="str">
        <f t="shared" si="15"/>
        <v>East</v>
      </c>
      <c r="G140" s="3" t="s">
        <v>61</v>
      </c>
      <c r="H140" s="3" t="s">
        <v>62</v>
      </c>
      <c r="I140" s="3" t="str">
        <f t="shared" si="16"/>
        <v>Wholesale</v>
      </c>
      <c r="J140" s="3" t="s">
        <v>45</v>
      </c>
      <c r="K140" s="3" t="s">
        <v>69</v>
      </c>
      <c r="L140" s="3" t="str">
        <f t="shared" si="17"/>
        <v>Bookshelf</v>
      </c>
      <c r="M140" s="3" t="s">
        <v>70</v>
      </c>
      <c r="N140" s="5">
        <v>3</v>
      </c>
      <c r="O140" s="6">
        <v>94.27</v>
      </c>
      <c r="P140" s="7">
        <v>0.05</v>
      </c>
      <c r="Q140" s="6">
        <v>268.67</v>
      </c>
      <c r="R140" s="6">
        <v>147.06</v>
      </c>
      <c r="S140" s="6">
        <v>121.61</v>
      </c>
      <c r="T140" s="3" t="s">
        <v>48</v>
      </c>
    </row>
    <row r="141" spans="1:20">
      <c r="A141" s="3" t="s">
        <v>223</v>
      </c>
      <c r="B141" s="3" t="str">
        <f t="shared" si="12"/>
        <v>Jan</v>
      </c>
      <c r="C141" s="3" t="str">
        <f t="shared" si="13"/>
        <v>2026</v>
      </c>
      <c r="D141" s="3" t="str">
        <f t="shared" si="14"/>
        <v>Sunday</v>
      </c>
      <c r="E141" s="25">
        <v>46033</v>
      </c>
      <c r="F141" s="4" t="str">
        <f t="shared" si="15"/>
        <v>West</v>
      </c>
      <c r="G141" s="3" t="s">
        <v>67</v>
      </c>
      <c r="H141" s="3" t="s">
        <v>68</v>
      </c>
      <c r="I141" s="3" t="str">
        <f t="shared" si="16"/>
        <v>Retail</v>
      </c>
      <c r="J141" s="3" t="s">
        <v>90</v>
      </c>
      <c r="K141" s="3" t="s">
        <v>46</v>
      </c>
      <c r="L141" s="3" t="str">
        <f t="shared" si="17"/>
        <v>Wireless Mouse</v>
      </c>
      <c r="M141" s="3" t="s">
        <v>75</v>
      </c>
      <c r="N141" s="5">
        <v>6</v>
      </c>
      <c r="O141" s="6">
        <v>19.22</v>
      </c>
      <c r="P141" s="7">
        <v>0</v>
      </c>
      <c r="Q141" s="6">
        <v>115.32</v>
      </c>
      <c r="R141" s="6">
        <v>55.35</v>
      </c>
      <c r="S141" s="6">
        <v>59.97</v>
      </c>
      <c r="T141" s="3" t="s">
        <v>88</v>
      </c>
    </row>
    <row r="142" spans="1:20">
      <c r="A142" s="3" t="s">
        <v>224</v>
      </c>
      <c r="B142" s="3" t="str">
        <f t="shared" si="12"/>
        <v>Apr</v>
      </c>
      <c r="C142" s="3" t="str">
        <f t="shared" si="13"/>
        <v>2025</v>
      </c>
      <c r="D142" s="3" t="str">
        <f t="shared" si="14"/>
        <v>Sunday</v>
      </c>
      <c r="E142" s="25">
        <v>45774</v>
      </c>
      <c r="F142" s="4" t="str">
        <f t="shared" si="15"/>
        <v>South</v>
      </c>
      <c r="G142" s="3" t="s">
        <v>56</v>
      </c>
      <c r="H142" s="3" t="s">
        <v>57</v>
      </c>
      <c r="I142" s="3" t="str">
        <f t="shared" si="16"/>
        <v>Wholesale</v>
      </c>
      <c r="J142" s="3" t="s">
        <v>45</v>
      </c>
      <c r="K142" s="3" t="s">
        <v>69</v>
      </c>
      <c r="L142" s="3" t="str">
        <f t="shared" si="17"/>
        <v>Ergonomic Chair</v>
      </c>
      <c r="M142" s="3" t="s">
        <v>79</v>
      </c>
      <c r="N142" s="5">
        <v>2</v>
      </c>
      <c r="O142" s="6">
        <v>141.93</v>
      </c>
      <c r="P142" s="7">
        <v>0.15</v>
      </c>
      <c r="Q142" s="6">
        <v>241.28</v>
      </c>
      <c r="R142" s="6">
        <v>164.64</v>
      </c>
      <c r="S142" s="6">
        <v>76.64</v>
      </c>
      <c r="T142" s="3" t="s">
        <v>77</v>
      </c>
    </row>
    <row r="143" spans="1:20">
      <c r="A143" s="3" t="s">
        <v>225</v>
      </c>
      <c r="B143" s="3" t="str">
        <f t="shared" si="12"/>
        <v>Apr</v>
      </c>
      <c r="C143" s="3" t="str">
        <f t="shared" si="13"/>
        <v>2026</v>
      </c>
      <c r="D143" s="3" t="str">
        <f t="shared" si="14"/>
        <v>Monday</v>
      </c>
      <c r="E143" s="25">
        <v>46125</v>
      </c>
      <c r="F143" s="4" t="str">
        <f t="shared" si="15"/>
        <v>Central</v>
      </c>
      <c r="G143" s="3" t="s">
        <v>74</v>
      </c>
      <c r="H143" s="3" t="s">
        <v>44</v>
      </c>
      <c r="I143" s="3" t="str">
        <f t="shared" si="16"/>
        <v>Corporate</v>
      </c>
      <c r="J143" s="3" t="s">
        <v>72</v>
      </c>
      <c r="K143" s="3" t="s">
        <v>46</v>
      </c>
      <c r="L143" s="3" t="str">
        <f t="shared" si="17"/>
        <v>Laptop Stand</v>
      </c>
      <c r="M143" s="3" t="s">
        <v>226</v>
      </c>
      <c r="N143" s="5">
        <v>1</v>
      </c>
      <c r="O143" s="6">
        <v>22.78</v>
      </c>
      <c r="P143" s="7">
        <v>0.15</v>
      </c>
      <c r="Q143" s="6">
        <v>19.36</v>
      </c>
      <c r="R143" s="6">
        <v>11.39</v>
      </c>
      <c r="S143" s="6">
        <v>7.97</v>
      </c>
      <c r="T143" s="3" t="s">
        <v>88</v>
      </c>
    </row>
    <row r="144" spans="1:20">
      <c r="A144" s="3" t="s">
        <v>227</v>
      </c>
      <c r="B144" s="3" t="str">
        <f t="shared" si="12"/>
        <v>Oct</v>
      </c>
      <c r="C144" s="3" t="str">
        <f t="shared" si="13"/>
        <v>2025</v>
      </c>
      <c r="D144" s="3" t="str">
        <f t="shared" si="14"/>
        <v>Tuesday</v>
      </c>
      <c r="E144" s="25">
        <v>45937</v>
      </c>
      <c r="F144" s="4" t="str">
        <f t="shared" si="15"/>
        <v>West</v>
      </c>
      <c r="G144" s="3" t="s">
        <v>67</v>
      </c>
      <c r="H144" s="3" t="s">
        <v>68</v>
      </c>
      <c r="I144" s="3" t="str">
        <f t="shared" si="16"/>
        <v>Online</v>
      </c>
      <c r="J144" s="3" t="s">
        <v>58</v>
      </c>
      <c r="K144" s="3" t="s">
        <v>46</v>
      </c>
      <c r="L144" s="3" t="str">
        <f>PROPER(TRIM(M:M))</f>
        <v>Usb-C Hub</v>
      </c>
      <c r="M144" s="3" t="s">
        <v>396</v>
      </c>
      <c r="N144" s="5">
        <v>5</v>
      </c>
      <c r="O144" s="6">
        <v>24.41</v>
      </c>
      <c r="P144" s="7">
        <v>0.1</v>
      </c>
      <c r="Q144" s="6">
        <v>109.85</v>
      </c>
      <c r="R144" s="6">
        <v>67.13</v>
      </c>
      <c r="S144" s="6">
        <v>42.72</v>
      </c>
      <c r="T144" s="3" t="s">
        <v>63</v>
      </c>
    </row>
    <row r="145" spans="1:20">
      <c r="A145" s="3" t="s">
        <v>229</v>
      </c>
      <c r="B145" s="3" t="str">
        <f t="shared" si="12"/>
        <v>Apr</v>
      </c>
      <c r="C145" s="3" t="str">
        <f t="shared" si="13"/>
        <v>2026</v>
      </c>
      <c r="D145" s="3" t="str">
        <f t="shared" si="14"/>
        <v>Friday</v>
      </c>
      <c r="E145" s="25">
        <v>46136</v>
      </c>
      <c r="F145" s="4" t="str">
        <f t="shared" si="15"/>
        <v>North</v>
      </c>
      <c r="G145" s="3" t="s">
        <v>50</v>
      </c>
      <c r="H145" s="3" t="s">
        <v>51</v>
      </c>
      <c r="I145" s="3" t="str">
        <f t="shared" si="16"/>
        <v>Wholesale</v>
      </c>
      <c r="J145" s="3" t="s">
        <v>45</v>
      </c>
      <c r="K145" s="3" t="s">
        <v>46</v>
      </c>
      <c r="L145" s="3" t="str">
        <f t="shared" si="17"/>
        <v>Laptop Stand</v>
      </c>
      <c r="M145" s="3" t="s">
        <v>116</v>
      </c>
      <c r="N145" s="5">
        <v>8</v>
      </c>
      <c r="O145" s="6">
        <v>23.43</v>
      </c>
      <c r="P145" s="7">
        <v>0.05</v>
      </c>
      <c r="Q145" s="6">
        <v>178.07</v>
      </c>
      <c r="R145" s="6">
        <v>93.72</v>
      </c>
      <c r="S145" s="6">
        <v>84.35</v>
      </c>
      <c r="T145" s="3" t="s">
        <v>63</v>
      </c>
    </row>
    <row r="146" spans="1:20">
      <c r="A146" s="3" t="s">
        <v>230</v>
      </c>
      <c r="B146" s="3" t="str">
        <f t="shared" si="12"/>
        <v>Dec</v>
      </c>
      <c r="C146" s="3" t="str">
        <f t="shared" si="13"/>
        <v>2025</v>
      </c>
      <c r="D146" s="3" t="str">
        <f t="shared" si="14"/>
        <v>Sunday</v>
      </c>
      <c r="E146" s="25">
        <v>45998</v>
      </c>
      <c r="F146" s="4" t="str">
        <f t="shared" si="15"/>
        <v>South</v>
      </c>
      <c r="G146" s="3" t="s">
        <v>56</v>
      </c>
      <c r="H146" s="3" t="s">
        <v>57</v>
      </c>
      <c r="I146" s="3" t="str">
        <f t="shared" si="16"/>
        <v>Wholesale</v>
      </c>
      <c r="J146" s="3" t="s">
        <v>45</v>
      </c>
      <c r="K146" s="3" t="s">
        <v>84</v>
      </c>
      <c r="L146" s="3" t="str">
        <f t="shared" si="17"/>
        <v>Desk Organizer</v>
      </c>
      <c r="M146" s="3" t="s">
        <v>134</v>
      </c>
      <c r="N146" s="5">
        <v>7</v>
      </c>
      <c r="O146" s="6">
        <v>13.02</v>
      </c>
      <c r="P146" s="7">
        <v>0</v>
      </c>
      <c r="Q146" s="6">
        <v>91.14</v>
      </c>
      <c r="R146" s="6">
        <v>41.92</v>
      </c>
      <c r="S146" s="6">
        <v>49.22</v>
      </c>
      <c r="T146" s="3" t="s">
        <v>88</v>
      </c>
    </row>
    <row r="147" spans="1:20">
      <c r="A147" s="3" t="s">
        <v>231</v>
      </c>
      <c r="B147" s="3" t="str">
        <f t="shared" si="12"/>
        <v>Apr</v>
      </c>
      <c r="C147" s="3" t="str">
        <f t="shared" si="13"/>
        <v>2026</v>
      </c>
      <c r="D147" s="3" t="str">
        <f t="shared" si="14"/>
        <v>Monday</v>
      </c>
      <c r="E147" s="25">
        <v>46125</v>
      </c>
      <c r="F147" s="4" t="str">
        <f t="shared" si="15"/>
        <v>East</v>
      </c>
      <c r="G147" s="3" t="s">
        <v>61</v>
      </c>
      <c r="H147" s="3" t="s">
        <v>62</v>
      </c>
      <c r="I147" s="3" t="str">
        <f t="shared" si="16"/>
        <v>Corporate</v>
      </c>
      <c r="J147" s="3" t="s">
        <v>72</v>
      </c>
      <c r="K147" s="3" t="s">
        <v>46</v>
      </c>
      <c r="L147" s="3" t="str">
        <f t="shared" si="17"/>
        <v>Laptop Stand</v>
      </c>
      <c r="M147" s="3" t="s">
        <v>116</v>
      </c>
      <c r="N147" s="5">
        <v>7</v>
      </c>
      <c r="O147" s="6">
        <v>22.74</v>
      </c>
      <c r="P147" s="7">
        <v>0.1</v>
      </c>
      <c r="Q147" s="6">
        <v>143.26</v>
      </c>
      <c r="R147" s="6">
        <v>79.59</v>
      </c>
      <c r="S147" s="6">
        <v>63.67</v>
      </c>
      <c r="T147" s="3" t="s">
        <v>65</v>
      </c>
    </row>
    <row r="148" spans="1:20">
      <c r="A148" s="3" t="s">
        <v>232</v>
      </c>
      <c r="B148" s="3" t="str">
        <f t="shared" si="12"/>
        <v>Oct</v>
      </c>
      <c r="C148" s="3" t="str">
        <f t="shared" si="13"/>
        <v>2025</v>
      </c>
      <c r="D148" s="3" t="str">
        <f t="shared" si="14"/>
        <v>Wednesday</v>
      </c>
      <c r="E148" s="25">
        <v>45952</v>
      </c>
      <c r="F148" s="4" t="str">
        <f t="shared" si="15"/>
        <v>East</v>
      </c>
      <c r="G148" s="3" t="s">
        <v>61</v>
      </c>
      <c r="H148" s="3" t="s">
        <v>62</v>
      </c>
      <c r="I148" s="3" t="str">
        <f t="shared" si="16"/>
        <v>Wholesale</v>
      </c>
      <c r="J148" s="3" t="s">
        <v>45</v>
      </c>
      <c r="K148" s="3" t="s">
        <v>52</v>
      </c>
      <c r="L148" s="3" t="str">
        <f t="shared" si="17"/>
        <v>Keyboard Cover</v>
      </c>
      <c r="M148" s="3" t="s">
        <v>59</v>
      </c>
      <c r="N148" s="5">
        <v>9</v>
      </c>
      <c r="O148" s="6">
        <v>10.119999999999999</v>
      </c>
      <c r="P148" s="7">
        <v>0.15</v>
      </c>
      <c r="Q148" s="6">
        <v>77.42</v>
      </c>
      <c r="R148" s="6">
        <v>37.340000000000003</v>
      </c>
      <c r="S148" s="6">
        <v>40.08</v>
      </c>
      <c r="T148" s="3" t="s">
        <v>63</v>
      </c>
    </row>
    <row r="149" spans="1:20">
      <c r="A149" s="3" t="s">
        <v>233</v>
      </c>
      <c r="B149" s="3" t="str">
        <f t="shared" si="12"/>
        <v>Sep</v>
      </c>
      <c r="C149" s="3" t="str">
        <f t="shared" si="13"/>
        <v>2026</v>
      </c>
      <c r="D149" s="3" t="str">
        <f t="shared" si="14"/>
        <v>Sunday</v>
      </c>
      <c r="E149" s="25">
        <v>46292</v>
      </c>
      <c r="F149" s="4" t="str">
        <f t="shared" si="15"/>
        <v>North</v>
      </c>
      <c r="G149" s="3" t="s">
        <v>50</v>
      </c>
      <c r="H149" s="3" t="s">
        <v>51</v>
      </c>
      <c r="I149" s="3" t="str">
        <f t="shared" si="16"/>
        <v>Retail</v>
      </c>
      <c r="J149" s="3" t="s">
        <v>90</v>
      </c>
      <c r="K149" s="3" t="s">
        <v>84</v>
      </c>
      <c r="L149" s="3" t="str">
        <f t="shared" si="17"/>
        <v>Desk Organizer</v>
      </c>
      <c r="M149" s="3" t="s">
        <v>134</v>
      </c>
      <c r="N149" s="5">
        <v>7</v>
      </c>
      <c r="O149" s="6">
        <v>14.49</v>
      </c>
      <c r="P149" s="7">
        <v>0.1</v>
      </c>
      <c r="Q149" s="6">
        <v>91.29</v>
      </c>
      <c r="R149" s="6">
        <v>46.66</v>
      </c>
      <c r="S149" s="6">
        <v>44.63</v>
      </c>
      <c r="T149" s="3" t="s">
        <v>88</v>
      </c>
    </row>
    <row r="150" spans="1:20">
      <c r="A150" s="3" t="s">
        <v>234</v>
      </c>
      <c r="B150" s="3" t="str">
        <f t="shared" si="12"/>
        <v>Jul</v>
      </c>
      <c r="C150" s="3" t="str">
        <f t="shared" si="13"/>
        <v>2025</v>
      </c>
      <c r="D150" s="3" t="str">
        <f t="shared" si="14"/>
        <v>Monday</v>
      </c>
      <c r="E150" s="25">
        <v>45852</v>
      </c>
      <c r="F150" s="4" t="str">
        <f t="shared" si="15"/>
        <v>West</v>
      </c>
      <c r="G150" s="3" t="s">
        <v>67</v>
      </c>
      <c r="H150" s="3" t="s">
        <v>68</v>
      </c>
      <c r="I150" s="3" t="str">
        <f t="shared" si="16"/>
        <v>Retail</v>
      </c>
      <c r="J150" s="3" t="s">
        <v>90</v>
      </c>
      <c r="K150" s="3" t="s">
        <v>69</v>
      </c>
      <c r="L150" s="3" t="str">
        <f t="shared" si="17"/>
        <v>Bookshelf</v>
      </c>
      <c r="M150" s="3" t="s">
        <v>70</v>
      </c>
      <c r="N150" s="5">
        <v>12</v>
      </c>
      <c r="O150" s="6">
        <v>95.24</v>
      </c>
      <c r="P150" s="7">
        <v>0.15</v>
      </c>
      <c r="Q150" s="6">
        <v>971.45</v>
      </c>
      <c r="R150" s="6">
        <v>594.29999999999995</v>
      </c>
      <c r="S150" s="6">
        <v>377.15</v>
      </c>
      <c r="T150" s="3" t="s">
        <v>88</v>
      </c>
    </row>
    <row r="151" spans="1:20">
      <c r="A151" s="3" t="s">
        <v>235</v>
      </c>
      <c r="B151" s="3" t="str">
        <f t="shared" si="12"/>
        <v>Jul</v>
      </c>
      <c r="C151" s="3" t="str">
        <f t="shared" si="13"/>
        <v>2026</v>
      </c>
      <c r="D151" s="3" t="str">
        <f t="shared" si="14"/>
        <v>Saturday</v>
      </c>
      <c r="E151" s="25">
        <v>46221</v>
      </c>
      <c r="F151" s="4" t="str">
        <f t="shared" si="15"/>
        <v>North</v>
      </c>
      <c r="G151" s="3" t="s">
        <v>50</v>
      </c>
      <c r="H151" s="3" t="s">
        <v>51</v>
      </c>
      <c r="I151" s="3" t="str">
        <f t="shared" si="16"/>
        <v>Corporate</v>
      </c>
      <c r="J151" s="3" t="s">
        <v>72</v>
      </c>
      <c r="K151" s="3" t="s">
        <v>84</v>
      </c>
      <c r="L151" s="3" t="str">
        <f t="shared" si="17"/>
        <v>Notebook Set</v>
      </c>
      <c r="M151" s="3" t="s">
        <v>85</v>
      </c>
      <c r="N151" s="5">
        <v>9</v>
      </c>
      <c r="O151" s="6">
        <v>6.51</v>
      </c>
      <c r="P151" s="7">
        <v>0.1</v>
      </c>
      <c r="Q151" s="6">
        <v>52.73</v>
      </c>
      <c r="R151" s="6">
        <v>23.44</v>
      </c>
      <c r="S151" s="6">
        <v>29.29</v>
      </c>
      <c r="T151" s="3" t="s">
        <v>48</v>
      </c>
    </row>
    <row r="152" spans="1:20">
      <c r="A152" s="3" t="s">
        <v>236</v>
      </c>
      <c r="B152" s="3" t="str">
        <f t="shared" si="12"/>
        <v>Feb</v>
      </c>
      <c r="C152" s="3" t="str">
        <f t="shared" si="13"/>
        <v>2025</v>
      </c>
      <c r="D152" s="3" t="str">
        <f t="shared" si="14"/>
        <v>Saturday</v>
      </c>
      <c r="E152" s="25">
        <v>45710</v>
      </c>
      <c r="F152" s="4" t="str">
        <f t="shared" si="15"/>
        <v>South</v>
      </c>
      <c r="G152" s="3" t="s">
        <v>56</v>
      </c>
      <c r="H152" s="3" t="s">
        <v>57</v>
      </c>
      <c r="I152" s="3" t="str">
        <f t="shared" si="16"/>
        <v>Online</v>
      </c>
      <c r="J152" s="3" t="s">
        <v>58</v>
      </c>
      <c r="K152" s="3" t="s">
        <v>46</v>
      </c>
      <c r="L152" s="3" t="str">
        <f t="shared" si="17"/>
        <v>Usb-C Hub</v>
      </c>
      <c r="M152" s="3" t="s">
        <v>93</v>
      </c>
      <c r="N152" s="5">
        <v>8</v>
      </c>
      <c r="O152" s="6">
        <v>26.96</v>
      </c>
      <c r="P152" s="7">
        <v>0.15</v>
      </c>
      <c r="Q152" s="6">
        <v>183.33</v>
      </c>
      <c r="R152" s="6">
        <v>118.62</v>
      </c>
      <c r="S152" s="6">
        <v>64.709999999999994</v>
      </c>
      <c r="T152" s="3" t="s">
        <v>63</v>
      </c>
    </row>
    <row r="153" spans="1:20">
      <c r="A153" s="3" t="s">
        <v>237</v>
      </c>
      <c r="B153" s="3" t="str">
        <f t="shared" si="12"/>
        <v>Feb</v>
      </c>
      <c r="C153" s="3" t="str">
        <f t="shared" si="13"/>
        <v>2026</v>
      </c>
      <c r="D153" s="3" t="str">
        <f t="shared" si="14"/>
        <v>Wednesday</v>
      </c>
      <c r="E153" s="25">
        <v>46057</v>
      </c>
      <c r="F153" s="4" t="str">
        <f t="shared" si="15"/>
        <v>North</v>
      </c>
      <c r="G153" s="3" t="s">
        <v>50</v>
      </c>
      <c r="H153" s="3" t="s">
        <v>51</v>
      </c>
      <c r="I153" s="3" t="str">
        <f t="shared" si="16"/>
        <v>Online</v>
      </c>
      <c r="J153" s="3" t="s">
        <v>58</v>
      </c>
      <c r="K153" s="3" t="s">
        <v>84</v>
      </c>
      <c r="L153" s="3" t="str">
        <f t="shared" si="17"/>
        <v>Notebook Set</v>
      </c>
      <c r="M153" s="3" t="s">
        <v>85</v>
      </c>
      <c r="N153" s="5">
        <v>11</v>
      </c>
      <c r="O153" s="6">
        <v>8.7100000000000009</v>
      </c>
      <c r="P153" s="7">
        <v>0.05</v>
      </c>
      <c r="Q153" s="6">
        <v>91.02</v>
      </c>
      <c r="R153" s="6">
        <v>38.32</v>
      </c>
      <c r="S153" s="6">
        <v>52.7</v>
      </c>
      <c r="T153" s="3" t="s">
        <v>88</v>
      </c>
    </row>
    <row r="154" spans="1:20">
      <c r="A154" s="3" t="s">
        <v>238</v>
      </c>
      <c r="B154" s="3" t="str">
        <f t="shared" si="12"/>
        <v>May</v>
      </c>
      <c r="C154" s="3" t="str">
        <f t="shared" si="13"/>
        <v>2025</v>
      </c>
      <c r="D154" s="3" t="str">
        <f t="shared" si="14"/>
        <v>Wednesday</v>
      </c>
      <c r="E154" s="25">
        <v>45805</v>
      </c>
      <c r="F154" s="4" t="str">
        <f t="shared" si="15"/>
        <v>South</v>
      </c>
      <c r="G154" s="3" t="s">
        <v>56</v>
      </c>
      <c r="H154" s="3" t="s">
        <v>57</v>
      </c>
      <c r="I154" s="3" t="str">
        <f t="shared" si="16"/>
        <v>Corporate</v>
      </c>
      <c r="J154" s="3" t="s">
        <v>72</v>
      </c>
      <c r="K154" s="3" t="s">
        <v>46</v>
      </c>
      <c r="L154" s="3" t="str">
        <f t="shared" si="17"/>
        <v>Wireless Mouse</v>
      </c>
      <c r="M154" s="3" t="s">
        <v>75</v>
      </c>
      <c r="N154" s="5">
        <v>2</v>
      </c>
      <c r="O154" s="6">
        <v>19.57</v>
      </c>
      <c r="P154" s="7">
        <v>0.15</v>
      </c>
      <c r="Q154" s="6">
        <v>33.270000000000003</v>
      </c>
      <c r="R154" s="6">
        <v>18.79</v>
      </c>
      <c r="S154" s="6">
        <v>14.48</v>
      </c>
      <c r="T154" s="3" t="s">
        <v>63</v>
      </c>
    </row>
    <row r="155" spans="1:20">
      <c r="A155" s="3" t="s">
        <v>239</v>
      </c>
      <c r="B155" s="3" t="str">
        <f t="shared" si="12"/>
        <v>Dec</v>
      </c>
      <c r="C155" s="3" t="str">
        <f t="shared" si="13"/>
        <v>2026</v>
      </c>
      <c r="D155" s="3" t="str">
        <f t="shared" si="14"/>
        <v>Thursday</v>
      </c>
      <c r="E155" s="25">
        <v>46366</v>
      </c>
      <c r="F155" s="4" t="str">
        <f t="shared" si="15"/>
        <v>North</v>
      </c>
      <c r="G155" s="3" t="s">
        <v>50</v>
      </c>
      <c r="H155" s="3" t="s">
        <v>51</v>
      </c>
      <c r="I155" s="3" t="str">
        <f t="shared" si="16"/>
        <v>Retail</v>
      </c>
      <c r="J155" s="3" t="s">
        <v>90</v>
      </c>
      <c r="K155" s="3" t="s">
        <v>84</v>
      </c>
      <c r="L155" s="3" t="str">
        <f t="shared" si="17"/>
        <v>Printer Paper</v>
      </c>
      <c r="M155" s="3" t="s">
        <v>96</v>
      </c>
      <c r="N155" s="5">
        <v>8</v>
      </c>
      <c r="O155" s="6">
        <v>10.220000000000001</v>
      </c>
      <c r="P155" s="7">
        <v>0</v>
      </c>
      <c r="Q155" s="6">
        <v>81.760000000000005</v>
      </c>
      <c r="R155" s="6">
        <v>31.07</v>
      </c>
      <c r="S155" s="6">
        <v>50.69</v>
      </c>
      <c r="T155" s="3" t="s">
        <v>77</v>
      </c>
    </row>
    <row r="156" spans="1:20">
      <c r="A156" s="3" t="s">
        <v>240</v>
      </c>
      <c r="B156" s="3" t="str">
        <f t="shared" si="12"/>
        <v>Nov</v>
      </c>
      <c r="C156" s="3" t="str">
        <f t="shared" si="13"/>
        <v>2025</v>
      </c>
      <c r="D156" s="3" t="str">
        <f t="shared" si="14"/>
        <v>Friday</v>
      </c>
      <c r="E156" s="25">
        <v>45989</v>
      </c>
      <c r="F156" s="4" t="str">
        <f t="shared" si="15"/>
        <v>North</v>
      </c>
      <c r="G156" s="3" t="s">
        <v>50</v>
      </c>
      <c r="H156" s="3" t="s">
        <v>51</v>
      </c>
      <c r="I156" s="3" t="str">
        <f t="shared" si="16"/>
        <v>Retail</v>
      </c>
      <c r="J156" s="3" t="s">
        <v>90</v>
      </c>
      <c r="K156" s="3" t="s">
        <v>46</v>
      </c>
      <c r="L156" s="3" t="str">
        <f t="shared" si="17"/>
        <v>Laptop Stand</v>
      </c>
      <c r="M156" s="3" t="s">
        <v>116</v>
      </c>
      <c r="N156" s="5">
        <v>12</v>
      </c>
      <c r="O156" s="6">
        <v>23.48</v>
      </c>
      <c r="P156" s="7">
        <v>0.1</v>
      </c>
      <c r="Q156" s="6">
        <v>253.58</v>
      </c>
      <c r="R156" s="6">
        <v>140.88</v>
      </c>
      <c r="S156" s="6">
        <v>112.7</v>
      </c>
      <c r="T156" s="3" t="s">
        <v>77</v>
      </c>
    </row>
    <row r="157" spans="1:20">
      <c r="A157" s="3" t="s">
        <v>241</v>
      </c>
      <c r="B157" s="3" t="str">
        <f t="shared" si="12"/>
        <v>Jul</v>
      </c>
      <c r="C157" s="3" t="str">
        <f t="shared" si="13"/>
        <v>2026</v>
      </c>
      <c r="D157" s="3" t="str">
        <f t="shared" si="14"/>
        <v>Thursday</v>
      </c>
      <c r="E157" s="25">
        <v>46219</v>
      </c>
      <c r="F157" s="4" t="str">
        <f t="shared" si="15"/>
        <v>South</v>
      </c>
      <c r="G157" s="3" t="s">
        <v>56</v>
      </c>
      <c r="H157" s="3" t="s">
        <v>57</v>
      </c>
      <c r="I157" s="3" t="str">
        <f t="shared" si="16"/>
        <v>Corporate</v>
      </c>
      <c r="J157" s="3" t="s">
        <v>72</v>
      </c>
      <c r="K157" s="3" t="s">
        <v>46</v>
      </c>
      <c r="L157" s="3" t="str">
        <f t="shared" si="17"/>
        <v>Laptop Stand</v>
      </c>
      <c r="M157" s="3" t="s">
        <v>116</v>
      </c>
      <c r="N157" s="5">
        <v>7</v>
      </c>
      <c r="O157" s="6">
        <v>20.13</v>
      </c>
      <c r="P157" s="7">
        <v>0</v>
      </c>
      <c r="Q157" s="6">
        <v>140.91</v>
      </c>
      <c r="R157" s="6">
        <v>70.459999999999994</v>
      </c>
      <c r="S157" s="6">
        <v>70.45</v>
      </c>
      <c r="T157" s="3" t="s">
        <v>88</v>
      </c>
    </row>
    <row r="158" spans="1:20">
      <c r="A158" s="3" t="s">
        <v>242</v>
      </c>
      <c r="B158" s="3" t="str">
        <f t="shared" si="12"/>
        <v>Oct</v>
      </c>
      <c r="C158" s="3" t="str">
        <f t="shared" si="13"/>
        <v>2025</v>
      </c>
      <c r="D158" s="3" t="str">
        <f t="shared" si="14"/>
        <v>Friday</v>
      </c>
      <c r="E158" s="25">
        <v>45940</v>
      </c>
      <c r="F158" s="4" t="str">
        <f t="shared" si="15"/>
        <v>South</v>
      </c>
      <c r="G158" s="3" t="s">
        <v>56</v>
      </c>
      <c r="H158" s="3" t="s">
        <v>57</v>
      </c>
      <c r="I158" s="3" t="str">
        <f t="shared" si="16"/>
        <v>Wholesale</v>
      </c>
      <c r="J158" s="3" t="s">
        <v>45</v>
      </c>
      <c r="K158" s="3" t="s">
        <v>52</v>
      </c>
      <c r="L158" s="3" t="str">
        <f t="shared" si="17"/>
        <v>Laptop Sleeve</v>
      </c>
      <c r="M158" s="3" t="s">
        <v>91</v>
      </c>
      <c r="N158" s="5">
        <v>9</v>
      </c>
      <c r="O158" s="6">
        <v>20.57</v>
      </c>
      <c r="P158" s="7">
        <v>0</v>
      </c>
      <c r="Q158" s="6">
        <v>185.13</v>
      </c>
      <c r="R158" s="6">
        <v>90.71</v>
      </c>
      <c r="S158" s="6">
        <v>94.42</v>
      </c>
      <c r="T158" s="3" t="s">
        <v>88</v>
      </c>
    </row>
    <row r="159" spans="1:20">
      <c r="A159" s="3" t="s">
        <v>243</v>
      </c>
      <c r="B159" s="3" t="str">
        <f t="shared" si="12"/>
        <v>Sep</v>
      </c>
      <c r="C159" s="3" t="str">
        <f t="shared" si="13"/>
        <v>2026</v>
      </c>
      <c r="D159" s="3" t="str">
        <f t="shared" si="14"/>
        <v>Saturday</v>
      </c>
      <c r="E159" s="25">
        <v>46277</v>
      </c>
      <c r="F159" s="4" t="str">
        <f t="shared" si="15"/>
        <v>South</v>
      </c>
      <c r="G159" s="3" t="s">
        <v>56</v>
      </c>
      <c r="H159" s="3" t="s">
        <v>57</v>
      </c>
      <c r="I159" s="3" t="str">
        <f t="shared" si="16"/>
        <v>Retail</v>
      </c>
      <c r="J159" s="3" t="s">
        <v>90</v>
      </c>
      <c r="K159" s="3" t="s">
        <v>46</v>
      </c>
      <c r="L159" s="3" t="str">
        <f t="shared" si="17"/>
        <v>Usb-C Hub</v>
      </c>
      <c r="M159" s="3" t="s">
        <v>93</v>
      </c>
      <c r="N159" s="5">
        <v>11</v>
      </c>
      <c r="O159" s="6">
        <v>24.5</v>
      </c>
      <c r="P159" s="7">
        <v>0</v>
      </c>
      <c r="Q159" s="6">
        <v>269.5</v>
      </c>
      <c r="R159" s="6">
        <v>148.22999999999999</v>
      </c>
      <c r="S159" s="6">
        <v>121.27</v>
      </c>
      <c r="T159" s="3" t="s">
        <v>77</v>
      </c>
    </row>
    <row r="160" spans="1:20">
      <c r="A160" s="3" t="s">
        <v>244</v>
      </c>
      <c r="B160" s="3" t="str">
        <f t="shared" si="12"/>
        <v>Dec</v>
      </c>
      <c r="C160" s="3" t="str">
        <f t="shared" si="13"/>
        <v>2025</v>
      </c>
      <c r="D160" s="3" t="str">
        <f t="shared" si="14"/>
        <v>Monday</v>
      </c>
      <c r="E160" s="25">
        <v>45999</v>
      </c>
      <c r="F160" s="4" t="str">
        <f t="shared" si="15"/>
        <v>South</v>
      </c>
      <c r="G160" s="3" t="s">
        <v>56</v>
      </c>
      <c r="H160" s="3" t="s">
        <v>57</v>
      </c>
      <c r="I160" s="3" t="str">
        <f t="shared" si="16"/>
        <v>Wholesale</v>
      </c>
      <c r="J160" s="3" t="s">
        <v>45</v>
      </c>
      <c r="K160" s="3" t="s">
        <v>69</v>
      </c>
      <c r="L160" s="3" t="str">
        <f t="shared" si="17"/>
        <v>Ergonomic Chair</v>
      </c>
      <c r="M160" s="3" t="s">
        <v>79</v>
      </c>
      <c r="N160" s="5">
        <v>1</v>
      </c>
      <c r="O160" s="6">
        <v>139.85</v>
      </c>
      <c r="P160" s="7">
        <v>0.05</v>
      </c>
      <c r="Q160" s="6">
        <v>132.86000000000001</v>
      </c>
      <c r="R160" s="6">
        <v>81.11</v>
      </c>
      <c r="S160" s="6">
        <v>51.75</v>
      </c>
      <c r="T160" s="3" t="s">
        <v>65</v>
      </c>
    </row>
    <row r="161" spans="1:20">
      <c r="A161" s="3" t="s">
        <v>245</v>
      </c>
      <c r="B161" s="3" t="str">
        <f t="shared" si="12"/>
        <v>Nov</v>
      </c>
      <c r="C161" s="3" t="str">
        <f t="shared" si="13"/>
        <v>2026</v>
      </c>
      <c r="D161" s="3" t="str">
        <f t="shared" si="14"/>
        <v>Wednesday</v>
      </c>
      <c r="E161" s="25">
        <v>46351</v>
      </c>
      <c r="F161" s="4" t="str">
        <f t="shared" si="15"/>
        <v>Central</v>
      </c>
      <c r="G161" s="3" t="s">
        <v>74</v>
      </c>
      <c r="H161" s="3" t="s">
        <v>44</v>
      </c>
      <c r="I161" s="3" t="str">
        <f t="shared" si="16"/>
        <v>Wholesale</v>
      </c>
      <c r="J161" s="3" t="s">
        <v>45</v>
      </c>
      <c r="K161" s="3" t="s">
        <v>84</v>
      </c>
      <c r="L161" s="3" t="str">
        <f t="shared" si="17"/>
        <v>Notebook Set</v>
      </c>
      <c r="M161" s="3" t="s">
        <v>85</v>
      </c>
      <c r="N161" s="5">
        <v>3</v>
      </c>
      <c r="O161" s="6">
        <v>9.39</v>
      </c>
      <c r="P161" s="7">
        <v>0.1</v>
      </c>
      <c r="Q161" s="6">
        <v>25.35</v>
      </c>
      <c r="R161" s="6">
        <v>11.27</v>
      </c>
      <c r="S161" s="6">
        <v>14.08</v>
      </c>
      <c r="T161" s="3" t="s">
        <v>88</v>
      </c>
    </row>
    <row r="162" spans="1:20">
      <c r="A162" s="3" t="s">
        <v>246</v>
      </c>
      <c r="B162" s="3" t="str">
        <f t="shared" si="12"/>
        <v>Jul</v>
      </c>
      <c r="C162" s="3" t="str">
        <f t="shared" si="13"/>
        <v>2025</v>
      </c>
      <c r="D162" s="3" t="str">
        <f t="shared" si="14"/>
        <v>Thursday</v>
      </c>
      <c r="E162" s="25">
        <v>45848</v>
      </c>
      <c r="F162" s="4" t="str">
        <f t="shared" si="15"/>
        <v>Central</v>
      </c>
      <c r="G162" s="3" t="s">
        <v>74</v>
      </c>
      <c r="H162" s="3" t="s">
        <v>44</v>
      </c>
      <c r="I162" s="3" t="str">
        <f t="shared" si="16"/>
        <v>Online</v>
      </c>
      <c r="J162" s="3" t="s">
        <v>58</v>
      </c>
      <c r="K162" s="3" t="s">
        <v>46</v>
      </c>
      <c r="L162" s="3" t="str">
        <f t="shared" si="17"/>
        <v>Laptop Stand</v>
      </c>
      <c r="M162" s="3" t="s">
        <v>116</v>
      </c>
      <c r="N162" s="5">
        <v>1</v>
      </c>
      <c r="O162" s="6">
        <v>20.12</v>
      </c>
      <c r="P162" s="7">
        <v>0.05</v>
      </c>
      <c r="Q162" s="6">
        <v>19.11</v>
      </c>
      <c r="R162" s="6">
        <v>10.06</v>
      </c>
      <c r="S162" s="6">
        <v>9.0500000000000007</v>
      </c>
      <c r="T162" s="3" t="s">
        <v>54</v>
      </c>
    </row>
    <row r="163" spans="1:20">
      <c r="A163" s="3" t="s">
        <v>247</v>
      </c>
      <c r="B163" s="3" t="str">
        <f t="shared" si="12"/>
        <v>Sep</v>
      </c>
      <c r="C163" s="3" t="str">
        <f t="shared" si="13"/>
        <v>2026</v>
      </c>
      <c r="D163" s="3" t="str">
        <f t="shared" si="14"/>
        <v>Wednesday</v>
      </c>
      <c r="E163" s="25">
        <v>46281</v>
      </c>
      <c r="F163" s="4" t="str">
        <f t="shared" si="15"/>
        <v>East</v>
      </c>
      <c r="G163" s="3" t="s">
        <v>61</v>
      </c>
      <c r="H163" s="3" t="s">
        <v>62</v>
      </c>
      <c r="I163" s="3" t="str">
        <f t="shared" si="16"/>
        <v>Wholesale</v>
      </c>
      <c r="J163" s="3" t="s">
        <v>45</v>
      </c>
      <c r="K163" s="3" t="s">
        <v>69</v>
      </c>
      <c r="L163" s="3" t="str">
        <f t="shared" si="17"/>
        <v>Standing Desk</v>
      </c>
      <c r="M163" s="3" t="s">
        <v>81</v>
      </c>
      <c r="N163" s="5">
        <v>5</v>
      </c>
      <c r="O163" s="6">
        <v>258.39999999999998</v>
      </c>
      <c r="P163" s="7">
        <v>0.05</v>
      </c>
      <c r="Q163" s="6">
        <v>1227.4000000000001</v>
      </c>
      <c r="R163" s="6">
        <v>775.2</v>
      </c>
      <c r="S163" s="6">
        <v>452.2</v>
      </c>
      <c r="T163" s="3" t="s">
        <v>54</v>
      </c>
    </row>
    <row r="164" spans="1:20">
      <c r="A164" s="3" t="s">
        <v>248</v>
      </c>
      <c r="B164" s="3" t="str">
        <f t="shared" si="12"/>
        <v>May</v>
      </c>
      <c r="C164" s="3" t="str">
        <f t="shared" si="13"/>
        <v>2025</v>
      </c>
      <c r="D164" s="3" t="str">
        <f t="shared" si="14"/>
        <v>Wednesday</v>
      </c>
      <c r="E164" s="25">
        <v>45798</v>
      </c>
      <c r="F164" s="4" t="str">
        <f t="shared" si="15"/>
        <v>West</v>
      </c>
      <c r="G164" s="3" t="s">
        <v>67</v>
      </c>
      <c r="H164" s="3" t="s">
        <v>68</v>
      </c>
      <c r="I164" s="3" t="str">
        <f t="shared" si="16"/>
        <v>Retail</v>
      </c>
      <c r="J164" s="3" t="s">
        <v>90</v>
      </c>
      <c r="K164" s="3" t="s">
        <v>84</v>
      </c>
      <c r="L164" s="3" t="str">
        <f t="shared" si="17"/>
        <v>Notebook Set</v>
      </c>
      <c r="M164" s="3" t="s">
        <v>85</v>
      </c>
      <c r="N164" s="5">
        <v>8</v>
      </c>
      <c r="O164" s="6">
        <v>9.5</v>
      </c>
      <c r="P164" s="7">
        <v>0.15</v>
      </c>
      <c r="Q164" s="6">
        <v>64.599999999999994</v>
      </c>
      <c r="R164" s="6">
        <v>30.4</v>
      </c>
      <c r="S164" s="6">
        <v>34.200000000000003</v>
      </c>
      <c r="T164" s="3" t="s">
        <v>63</v>
      </c>
    </row>
    <row r="165" spans="1:20">
      <c r="A165" s="3" t="s">
        <v>249</v>
      </c>
      <c r="B165" s="3" t="str">
        <f t="shared" si="12"/>
        <v>Sep</v>
      </c>
      <c r="C165" s="3" t="str">
        <f t="shared" si="13"/>
        <v>2026</v>
      </c>
      <c r="D165" s="3" t="str">
        <f t="shared" si="14"/>
        <v>Monday</v>
      </c>
      <c r="E165" s="25">
        <v>46293</v>
      </c>
      <c r="F165" s="4" t="str">
        <f t="shared" si="15"/>
        <v>West</v>
      </c>
      <c r="G165" s="3" t="s">
        <v>67</v>
      </c>
      <c r="H165" s="3" t="s">
        <v>68</v>
      </c>
      <c r="I165" s="3" t="str">
        <f t="shared" si="16"/>
        <v>Online</v>
      </c>
      <c r="J165" s="3" t="s">
        <v>58</v>
      </c>
      <c r="K165" s="3" t="s">
        <v>69</v>
      </c>
      <c r="L165" s="3" t="str">
        <f t="shared" si="17"/>
        <v>Standing Desk</v>
      </c>
      <c r="M165" s="3" t="s">
        <v>81</v>
      </c>
      <c r="N165" s="5">
        <v>6</v>
      </c>
      <c r="O165" s="6">
        <v>260.64</v>
      </c>
      <c r="P165" s="7">
        <v>0</v>
      </c>
      <c r="Q165" s="6">
        <v>1563.84</v>
      </c>
      <c r="R165" s="6">
        <v>938.3</v>
      </c>
      <c r="S165" s="6">
        <v>625.54</v>
      </c>
      <c r="T165" s="3" t="s">
        <v>88</v>
      </c>
    </row>
    <row r="166" spans="1:20">
      <c r="A166" s="3" t="s">
        <v>250</v>
      </c>
      <c r="B166" s="3" t="str">
        <f t="shared" si="12"/>
        <v>Oct</v>
      </c>
      <c r="C166" s="3" t="str">
        <f t="shared" si="13"/>
        <v>2025</v>
      </c>
      <c r="D166" s="3" t="str">
        <f t="shared" si="14"/>
        <v>Thursday</v>
      </c>
      <c r="E166" s="25">
        <v>45939</v>
      </c>
      <c r="F166" s="4" t="str">
        <f t="shared" si="15"/>
        <v>West</v>
      </c>
      <c r="G166" s="3" t="s">
        <v>251</v>
      </c>
      <c r="H166" s="3" t="s">
        <v>68</v>
      </c>
      <c r="I166" s="3" t="str">
        <f t="shared" si="16"/>
        <v>Retail</v>
      </c>
      <c r="J166" s="3" t="s">
        <v>90</v>
      </c>
      <c r="K166" s="3" t="s">
        <v>52</v>
      </c>
      <c r="L166" s="3" t="str">
        <f t="shared" si="17"/>
        <v>Water Bottle</v>
      </c>
      <c r="M166" s="3" t="s">
        <v>53</v>
      </c>
      <c r="N166" s="5">
        <v>11</v>
      </c>
      <c r="O166" s="6">
        <v>8.65</v>
      </c>
      <c r="P166" s="7">
        <v>0</v>
      </c>
      <c r="Q166" s="6">
        <v>95.15</v>
      </c>
      <c r="R166" s="6">
        <v>40.909999999999997</v>
      </c>
      <c r="S166" s="6">
        <v>54.24</v>
      </c>
      <c r="T166" s="3" t="s">
        <v>88</v>
      </c>
    </row>
    <row r="167" spans="1:20">
      <c r="A167" s="3" t="s">
        <v>252</v>
      </c>
      <c r="B167" s="3" t="str">
        <f t="shared" si="12"/>
        <v>Aug</v>
      </c>
      <c r="C167" s="3" t="str">
        <f t="shared" si="13"/>
        <v>2026</v>
      </c>
      <c r="D167" s="3" t="str">
        <f t="shared" si="14"/>
        <v>Friday</v>
      </c>
      <c r="E167" s="25">
        <v>46248</v>
      </c>
      <c r="F167" s="4" t="str">
        <f t="shared" si="15"/>
        <v>East</v>
      </c>
      <c r="G167" s="3" t="s">
        <v>61</v>
      </c>
      <c r="H167" s="3" t="s">
        <v>62</v>
      </c>
      <c r="I167" s="3" t="str">
        <f t="shared" si="16"/>
        <v>Online</v>
      </c>
      <c r="J167" s="3" t="s">
        <v>58</v>
      </c>
      <c r="K167" s="3" t="s">
        <v>46</v>
      </c>
      <c r="L167" s="3" t="str">
        <f t="shared" si="17"/>
        <v>Wireless Mouse</v>
      </c>
      <c r="M167" s="3" t="s">
        <v>75</v>
      </c>
      <c r="N167" s="5">
        <v>3</v>
      </c>
      <c r="O167" s="6">
        <v>19.98</v>
      </c>
      <c r="P167" s="7">
        <v>0.05</v>
      </c>
      <c r="Q167" s="6">
        <v>56.94</v>
      </c>
      <c r="R167" s="6">
        <v>28.77</v>
      </c>
      <c r="S167" s="6">
        <v>28.17</v>
      </c>
      <c r="T167" s="3" t="s">
        <v>88</v>
      </c>
    </row>
    <row r="168" spans="1:20">
      <c r="A168" s="3" t="s">
        <v>253</v>
      </c>
      <c r="B168" s="3" t="str">
        <f t="shared" si="12"/>
        <v>Mar</v>
      </c>
      <c r="C168" s="3" t="str">
        <f t="shared" si="13"/>
        <v>2025</v>
      </c>
      <c r="D168" s="3" t="str">
        <f t="shared" si="14"/>
        <v>Thursday</v>
      </c>
      <c r="E168" s="25">
        <v>45736</v>
      </c>
      <c r="F168" s="4" t="str">
        <f t="shared" si="15"/>
        <v>West</v>
      </c>
      <c r="G168" s="3" t="s">
        <v>67</v>
      </c>
      <c r="H168" s="3" t="s">
        <v>68</v>
      </c>
      <c r="I168" s="3" t="str">
        <f t="shared" si="16"/>
        <v>Retail</v>
      </c>
      <c r="J168" s="3" t="s">
        <v>90</v>
      </c>
      <c r="K168" s="3" t="s">
        <v>69</v>
      </c>
      <c r="L168" s="3" t="str">
        <f t="shared" si="17"/>
        <v>Bookshelf</v>
      </c>
      <c r="M168" s="3" t="s">
        <v>70</v>
      </c>
      <c r="N168" s="5">
        <v>9</v>
      </c>
      <c r="O168" s="6">
        <v>96.33</v>
      </c>
      <c r="P168" s="7">
        <v>0.1</v>
      </c>
      <c r="Q168" s="6">
        <v>780.27</v>
      </c>
      <c r="R168" s="6">
        <v>450.82</v>
      </c>
      <c r="S168" s="6">
        <v>329.45</v>
      </c>
      <c r="T168" s="3" t="s">
        <v>48</v>
      </c>
    </row>
    <row r="169" spans="1:20">
      <c r="A169" s="3" t="s">
        <v>254</v>
      </c>
      <c r="B169" s="3" t="str">
        <f t="shared" si="12"/>
        <v>Sep</v>
      </c>
      <c r="C169" s="3" t="str">
        <f t="shared" si="13"/>
        <v>2026</v>
      </c>
      <c r="D169" s="3" t="str">
        <f t="shared" si="14"/>
        <v>Saturday</v>
      </c>
      <c r="E169" s="25">
        <v>46277</v>
      </c>
      <c r="F169" s="4" t="str">
        <f t="shared" si="15"/>
        <v>North</v>
      </c>
      <c r="G169" s="3" t="s">
        <v>50</v>
      </c>
      <c r="H169" s="3" t="s">
        <v>51</v>
      </c>
      <c r="I169" s="3" t="str">
        <f t="shared" si="16"/>
        <v>Corporate</v>
      </c>
      <c r="J169" s="3" t="s">
        <v>72</v>
      </c>
      <c r="K169" s="3" t="s">
        <v>52</v>
      </c>
      <c r="L169" s="3" t="str">
        <f t="shared" si="17"/>
        <v>Laptop Sleeve</v>
      </c>
      <c r="M169" s="3" t="s">
        <v>91</v>
      </c>
      <c r="N169" s="5">
        <v>4</v>
      </c>
      <c r="O169" s="6">
        <v>20.72</v>
      </c>
      <c r="P169" s="7">
        <v>0.05</v>
      </c>
      <c r="Q169" s="6">
        <v>78.739999999999995</v>
      </c>
      <c r="R169" s="6">
        <v>40.61</v>
      </c>
      <c r="S169" s="6">
        <v>38.130000000000003</v>
      </c>
      <c r="T169" s="3" t="s">
        <v>77</v>
      </c>
    </row>
    <row r="170" spans="1:20">
      <c r="A170" s="3" t="s">
        <v>255</v>
      </c>
      <c r="B170" s="3" t="str">
        <f t="shared" si="12"/>
        <v>May</v>
      </c>
      <c r="C170" s="3" t="str">
        <f t="shared" si="13"/>
        <v>2025</v>
      </c>
      <c r="D170" s="3" t="str">
        <f t="shared" si="14"/>
        <v>Saturday</v>
      </c>
      <c r="E170" s="25">
        <v>45780</v>
      </c>
      <c r="F170" s="4" t="str">
        <f t="shared" si="15"/>
        <v>West</v>
      </c>
      <c r="G170" s="3" t="s">
        <v>67</v>
      </c>
      <c r="H170" s="3" t="s">
        <v>68</v>
      </c>
      <c r="I170" s="3" t="str">
        <f t="shared" si="16"/>
        <v>Retail</v>
      </c>
      <c r="J170" s="3" t="s">
        <v>90</v>
      </c>
      <c r="K170" s="3" t="s">
        <v>46</v>
      </c>
      <c r="L170" s="3" t="str">
        <f t="shared" si="17"/>
        <v>Laptop Stand</v>
      </c>
      <c r="M170" s="3" t="s">
        <v>116</v>
      </c>
      <c r="N170" s="5">
        <v>3</v>
      </c>
      <c r="O170" s="6">
        <v>22.25</v>
      </c>
      <c r="P170" s="7">
        <v>0.05</v>
      </c>
      <c r="Q170" s="6">
        <v>63.41</v>
      </c>
      <c r="R170" s="6">
        <v>33.380000000000003</v>
      </c>
      <c r="S170" s="6">
        <v>30.03</v>
      </c>
      <c r="T170" s="3" t="s">
        <v>88</v>
      </c>
    </row>
    <row r="171" spans="1:20">
      <c r="A171" s="3" t="s">
        <v>256</v>
      </c>
      <c r="B171" s="3" t="str">
        <f t="shared" si="12"/>
        <v>May</v>
      </c>
      <c r="C171" s="3" t="str">
        <f t="shared" si="13"/>
        <v>2026</v>
      </c>
      <c r="D171" s="3" t="str">
        <f t="shared" si="14"/>
        <v>Monday</v>
      </c>
      <c r="E171" s="25">
        <v>46167</v>
      </c>
      <c r="F171" s="4" t="str">
        <f t="shared" si="15"/>
        <v>Central</v>
      </c>
      <c r="G171" s="3" t="s">
        <v>74</v>
      </c>
      <c r="H171" s="3" t="s">
        <v>44</v>
      </c>
      <c r="I171" s="3" t="str">
        <f t="shared" si="16"/>
        <v>Online</v>
      </c>
      <c r="J171" s="3" t="s">
        <v>58</v>
      </c>
      <c r="K171" s="3" t="s">
        <v>84</v>
      </c>
      <c r="L171" s="3" t="str">
        <f t="shared" si="17"/>
        <v>Desk Organizer</v>
      </c>
      <c r="M171" s="3" t="s">
        <v>134</v>
      </c>
      <c r="N171" s="5">
        <v>4</v>
      </c>
      <c r="O171" s="6">
        <v>16.22</v>
      </c>
      <c r="P171" s="7">
        <v>0.05</v>
      </c>
      <c r="Q171" s="6">
        <v>61.64</v>
      </c>
      <c r="R171" s="6">
        <v>29.84</v>
      </c>
      <c r="S171" s="6">
        <v>31.8</v>
      </c>
      <c r="T171" s="3" t="s">
        <v>48</v>
      </c>
    </row>
    <row r="172" spans="1:20">
      <c r="A172" s="3" t="s">
        <v>257</v>
      </c>
      <c r="B172" s="3" t="str">
        <f t="shared" si="12"/>
        <v>Jan</v>
      </c>
      <c r="C172" s="3" t="str">
        <f t="shared" si="13"/>
        <v>2025</v>
      </c>
      <c r="D172" s="3" t="str">
        <f t="shared" si="14"/>
        <v>Sunday</v>
      </c>
      <c r="E172" s="25">
        <v>45669</v>
      </c>
      <c r="F172" s="4" t="str">
        <f t="shared" si="15"/>
        <v>North</v>
      </c>
      <c r="G172" s="3" t="s">
        <v>50</v>
      </c>
      <c r="H172" s="3" t="s">
        <v>51</v>
      </c>
      <c r="I172" s="3" t="str">
        <f t="shared" si="16"/>
        <v>Online</v>
      </c>
      <c r="J172" s="3" t="s">
        <v>58</v>
      </c>
      <c r="K172" s="3" t="s">
        <v>46</v>
      </c>
      <c r="L172" s="3" t="str">
        <f t="shared" si="17"/>
        <v>Wireless Mouse</v>
      </c>
      <c r="M172" s="3" t="s">
        <v>75</v>
      </c>
      <c r="N172" s="5">
        <v>2</v>
      </c>
      <c r="O172" s="6">
        <v>16.38</v>
      </c>
      <c r="P172" s="7">
        <v>0</v>
      </c>
      <c r="Q172" s="6">
        <v>32.76</v>
      </c>
      <c r="R172" s="6">
        <v>15.72</v>
      </c>
      <c r="S172" s="6">
        <v>17.04</v>
      </c>
      <c r="T172" s="3" t="s">
        <v>54</v>
      </c>
    </row>
    <row r="173" spans="1:20">
      <c r="A173" s="3" t="s">
        <v>258</v>
      </c>
      <c r="B173" s="3" t="str">
        <f t="shared" si="12"/>
        <v>Aug</v>
      </c>
      <c r="C173" s="3" t="str">
        <f t="shared" si="13"/>
        <v>2026</v>
      </c>
      <c r="D173" s="3" t="str">
        <f t="shared" si="14"/>
        <v>Friday</v>
      </c>
      <c r="E173" s="25">
        <v>46255</v>
      </c>
      <c r="F173" s="4" t="str">
        <f t="shared" si="15"/>
        <v>South</v>
      </c>
      <c r="G173" s="3" t="s">
        <v>56</v>
      </c>
      <c r="H173" s="3" t="s">
        <v>57</v>
      </c>
      <c r="I173" s="3" t="str">
        <f t="shared" si="16"/>
        <v>Corporate</v>
      </c>
      <c r="J173" s="3" t="s">
        <v>72</v>
      </c>
      <c r="K173" s="3" t="s">
        <v>52</v>
      </c>
      <c r="L173" s="3" t="str">
        <f t="shared" si="17"/>
        <v>Water Bottle</v>
      </c>
      <c r="M173" s="3" t="s">
        <v>53</v>
      </c>
      <c r="N173" s="5">
        <v>12</v>
      </c>
      <c r="O173" s="6">
        <v>9.93</v>
      </c>
      <c r="P173" s="7">
        <v>0.05</v>
      </c>
      <c r="Q173" s="6">
        <v>113.2</v>
      </c>
      <c r="R173" s="6">
        <v>51.24</v>
      </c>
      <c r="S173" s="6">
        <v>61.96</v>
      </c>
      <c r="T173" s="3" t="s">
        <v>48</v>
      </c>
    </row>
    <row r="174" spans="1:20">
      <c r="A174" s="3" t="s">
        <v>259</v>
      </c>
      <c r="B174" s="3" t="str">
        <f t="shared" si="12"/>
        <v>Mar</v>
      </c>
      <c r="C174" s="3" t="str">
        <f t="shared" si="13"/>
        <v>2025</v>
      </c>
      <c r="D174" s="3" t="str">
        <f t="shared" si="14"/>
        <v>Tuesday</v>
      </c>
      <c r="E174" s="25">
        <v>45720</v>
      </c>
      <c r="F174" s="4" t="str">
        <f t="shared" si="15"/>
        <v>East</v>
      </c>
      <c r="G174" s="3" t="s">
        <v>61</v>
      </c>
      <c r="H174" s="3" t="s">
        <v>62</v>
      </c>
      <c r="I174" s="3" t="str">
        <f t="shared" si="16"/>
        <v>Corporate</v>
      </c>
      <c r="J174" s="3" t="s">
        <v>72</v>
      </c>
      <c r="K174" s="3" t="s">
        <v>52</v>
      </c>
      <c r="L174" s="3" t="str">
        <f t="shared" si="17"/>
        <v>Water Bottle</v>
      </c>
      <c r="M174" s="3" t="s">
        <v>53</v>
      </c>
      <c r="N174" s="5">
        <v>4</v>
      </c>
      <c r="O174" s="6">
        <v>9.3000000000000007</v>
      </c>
      <c r="P174" s="7">
        <v>0.1</v>
      </c>
      <c r="Q174" s="6">
        <v>33.479999999999997</v>
      </c>
      <c r="R174" s="6">
        <v>16</v>
      </c>
      <c r="S174" s="6">
        <v>17.48</v>
      </c>
      <c r="T174" s="3" t="s">
        <v>77</v>
      </c>
    </row>
    <row r="175" spans="1:20">
      <c r="A175" s="3" t="s">
        <v>260</v>
      </c>
      <c r="B175" s="3" t="str">
        <f t="shared" si="12"/>
        <v>Sep</v>
      </c>
      <c r="C175" s="3" t="str">
        <f t="shared" si="13"/>
        <v>2026</v>
      </c>
      <c r="D175" s="3" t="str">
        <f t="shared" si="14"/>
        <v>Friday</v>
      </c>
      <c r="E175" s="25">
        <v>46283</v>
      </c>
      <c r="F175" s="4" t="str">
        <f t="shared" si="15"/>
        <v>East</v>
      </c>
      <c r="G175" s="3" t="s">
        <v>61</v>
      </c>
      <c r="H175" s="3" t="s">
        <v>62</v>
      </c>
      <c r="I175" s="3" t="str">
        <f t="shared" si="16"/>
        <v>Corporate</v>
      </c>
      <c r="J175" s="3" t="s">
        <v>72</v>
      </c>
      <c r="K175" s="3" t="s">
        <v>46</v>
      </c>
      <c r="L175" s="3" t="str">
        <f t="shared" si="17"/>
        <v>Laptop Stand</v>
      </c>
      <c r="M175" s="3" t="s">
        <v>116</v>
      </c>
      <c r="N175" s="5">
        <v>3</v>
      </c>
      <c r="O175" s="6">
        <v>23.74</v>
      </c>
      <c r="P175" s="7">
        <v>0.1</v>
      </c>
      <c r="Q175" s="6">
        <v>64.099999999999994</v>
      </c>
      <c r="R175" s="6">
        <v>35.61</v>
      </c>
      <c r="S175" s="6">
        <v>28.49</v>
      </c>
      <c r="T175" s="3" t="s">
        <v>54</v>
      </c>
    </row>
    <row r="176" spans="1:20">
      <c r="A176" s="3" t="s">
        <v>261</v>
      </c>
      <c r="B176" s="3" t="str">
        <f t="shared" si="12"/>
        <v>May</v>
      </c>
      <c r="C176" s="3" t="str">
        <f t="shared" si="13"/>
        <v>2025</v>
      </c>
      <c r="D176" s="3" t="str">
        <f t="shared" si="14"/>
        <v>Tuesday</v>
      </c>
      <c r="E176" s="25">
        <v>45783</v>
      </c>
      <c r="F176" s="4" t="str">
        <f t="shared" si="15"/>
        <v>East</v>
      </c>
      <c r="G176" s="3" t="s">
        <v>61</v>
      </c>
      <c r="H176" s="3" t="s">
        <v>62</v>
      </c>
      <c r="I176" s="3" t="str">
        <f t="shared" si="16"/>
        <v>Wholesale</v>
      </c>
      <c r="J176" s="3" t="s">
        <v>45</v>
      </c>
      <c r="K176" s="3" t="s">
        <v>69</v>
      </c>
      <c r="L176" s="3" t="str">
        <f t="shared" si="17"/>
        <v>Bookshelf</v>
      </c>
      <c r="M176" s="3" t="s">
        <v>70</v>
      </c>
      <c r="N176" s="5">
        <v>12</v>
      </c>
      <c r="O176" s="6">
        <v>96.34</v>
      </c>
      <c r="P176" s="7">
        <v>0.1</v>
      </c>
      <c r="Q176" s="6">
        <v>1040.47</v>
      </c>
      <c r="R176" s="6">
        <v>601.16</v>
      </c>
      <c r="S176" s="6">
        <v>439.31</v>
      </c>
      <c r="T176" s="3" t="s">
        <v>88</v>
      </c>
    </row>
    <row r="177" spans="1:20">
      <c r="A177" s="3" t="s">
        <v>262</v>
      </c>
      <c r="B177" s="3" t="str">
        <f t="shared" si="12"/>
        <v>Jun</v>
      </c>
      <c r="C177" s="3" t="str">
        <f t="shared" si="13"/>
        <v>2026</v>
      </c>
      <c r="D177" s="3" t="str">
        <f t="shared" si="14"/>
        <v>Saturday</v>
      </c>
      <c r="E177" s="25">
        <v>46200</v>
      </c>
      <c r="F177" s="4" t="str">
        <f t="shared" si="15"/>
        <v>Central</v>
      </c>
      <c r="G177" s="3" t="s">
        <v>74</v>
      </c>
      <c r="H177" s="3" t="s">
        <v>44</v>
      </c>
      <c r="I177" s="3" t="str">
        <f t="shared" si="16"/>
        <v>Corporate</v>
      </c>
      <c r="J177" s="3" t="s">
        <v>72</v>
      </c>
      <c r="K177" s="3" t="s">
        <v>84</v>
      </c>
      <c r="L177" s="3" t="str">
        <f t="shared" si="17"/>
        <v>Printer Paper</v>
      </c>
      <c r="M177" s="3" t="s">
        <v>96</v>
      </c>
      <c r="N177" s="5">
        <v>10</v>
      </c>
      <c r="O177" s="6">
        <v>10.199999999999999</v>
      </c>
      <c r="P177" s="7">
        <v>0</v>
      </c>
      <c r="Q177" s="6">
        <v>102</v>
      </c>
      <c r="R177" s="6">
        <v>38.76</v>
      </c>
      <c r="S177" s="6">
        <v>63.24</v>
      </c>
      <c r="T177" s="3" t="s">
        <v>48</v>
      </c>
    </row>
    <row r="178" spans="1:20">
      <c r="A178" s="3" t="s">
        <v>263</v>
      </c>
      <c r="B178" s="3" t="str">
        <f t="shared" si="12"/>
        <v>Mar</v>
      </c>
      <c r="C178" s="3" t="str">
        <f t="shared" si="13"/>
        <v>2025</v>
      </c>
      <c r="D178" s="3" t="str">
        <f t="shared" si="14"/>
        <v>Tuesday</v>
      </c>
      <c r="E178" s="25">
        <v>45734</v>
      </c>
      <c r="F178" s="4" t="str">
        <f t="shared" si="15"/>
        <v>East</v>
      </c>
      <c r="G178" s="3" t="s">
        <v>61</v>
      </c>
      <c r="H178" s="3" t="s">
        <v>62</v>
      </c>
      <c r="I178" s="3" t="str">
        <f t="shared" si="16"/>
        <v>Retail</v>
      </c>
      <c r="J178" s="3" t="s">
        <v>90</v>
      </c>
      <c r="K178" s="3" t="s">
        <v>46</v>
      </c>
      <c r="L178" s="3" t="str">
        <f t="shared" si="17"/>
        <v>Laptop Stand</v>
      </c>
      <c r="M178" s="3" t="s">
        <v>116</v>
      </c>
      <c r="N178" s="5">
        <v>7</v>
      </c>
      <c r="O178" s="6">
        <v>23.74</v>
      </c>
      <c r="P178" s="7">
        <v>0.1</v>
      </c>
      <c r="Q178" s="6">
        <v>149.56</v>
      </c>
      <c r="R178" s="6">
        <v>83.09</v>
      </c>
      <c r="S178" s="6">
        <v>66.47</v>
      </c>
      <c r="T178" s="3" t="s">
        <v>48</v>
      </c>
    </row>
    <row r="179" spans="1:20">
      <c r="A179" s="3" t="s">
        <v>264</v>
      </c>
      <c r="B179" s="3" t="str">
        <f t="shared" si="12"/>
        <v>Dec</v>
      </c>
      <c r="C179" s="3" t="str">
        <f t="shared" si="13"/>
        <v>2026</v>
      </c>
      <c r="D179" s="3" t="str">
        <f t="shared" si="14"/>
        <v>Sunday</v>
      </c>
      <c r="E179" s="25">
        <v>46369</v>
      </c>
      <c r="F179" s="4" t="str">
        <f t="shared" si="15"/>
        <v>South</v>
      </c>
      <c r="G179" s="3" t="s">
        <v>56</v>
      </c>
      <c r="H179" s="3" t="s">
        <v>57</v>
      </c>
      <c r="I179" s="3" t="str">
        <f t="shared" si="16"/>
        <v>Online</v>
      </c>
      <c r="J179" s="3" t="s">
        <v>58</v>
      </c>
      <c r="K179" s="3" t="s">
        <v>52</v>
      </c>
      <c r="L179" s="3" t="str">
        <f t="shared" si="17"/>
        <v>Water Bottle</v>
      </c>
      <c r="M179" s="3" t="s">
        <v>53</v>
      </c>
      <c r="N179" s="5">
        <v>3</v>
      </c>
      <c r="O179" s="6">
        <v>11.27</v>
      </c>
      <c r="P179" s="7">
        <v>0.1</v>
      </c>
      <c r="Q179" s="6">
        <v>30.43</v>
      </c>
      <c r="R179" s="6">
        <v>14.54</v>
      </c>
      <c r="S179" s="6">
        <v>15.89</v>
      </c>
      <c r="T179" s="3" t="s">
        <v>77</v>
      </c>
    </row>
    <row r="180" spans="1:20">
      <c r="A180" s="3" t="s">
        <v>265</v>
      </c>
      <c r="B180" s="3" t="str">
        <f t="shared" si="12"/>
        <v>Jan</v>
      </c>
      <c r="C180" s="3" t="str">
        <f t="shared" si="13"/>
        <v>2025</v>
      </c>
      <c r="D180" s="3" t="str">
        <f t="shared" si="14"/>
        <v>Friday</v>
      </c>
      <c r="E180" s="25" t="s">
        <v>266</v>
      </c>
      <c r="F180" s="4" t="str">
        <f t="shared" si="15"/>
        <v>Central</v>
      </c>
      <c r="G180" s="3" t="s">
        <v>74</v>
      </c>
      <c r="H180" s="3" t="s">
        <v>44</v>
      </c>
      <c r="I180" s="3" t="str">
        <f t="shared" si="16"/>
        <v>Corporate</v>
      </c>
      <c r="J180" s="3" t="s">
        <v>72</v>
      </c>
      <c r="K180" s="3" t="s">
        <v>69</v>
      </c>
      <c r="L180" s="3" t="str">
        <f t="shared" si="17"/>
        <v>Bookshelf</v>
      </c>
      <c r="M180" s="3" t="s">
        <v>70</v>
      </c>
      <c r="N180" s="5">
        <v>7</v>
      </c>
      <c r="O180" s="6">
        <v>94.94</v>
      </c>
      <c r="P180" s="7">
        <v>0.1</v>
      </c>
      <c r="Q180" s="6">
        <v>598.12</v>
      </c>
      <c r="R180" s="6">
        <v>345.58</v>
      </c>
      <c r="S180" s="6">
        <v>252.54</v>
      </c>
      <c r="T180" s="3" t="s">
        <v>63</v>
      </c>
    </row>
    <row r="181" spans="1:20">
      <c r="A181" s="3" t="s">
        <v>267</v>
      </c>
      <c r="B181" s="3" t="str">
        <f t="shared" si="12"/>
        <v>May</v>
      </c>
      <c r="C181" s="3" t="str">
        <f t="shared" si="13"/>
        <v>2026</v>
      </c>
      <c r="D181" s="3" t="str">
        <f t="shared" si="14"/>
        <v>Friday</v>
      </c>
      <c r="E181" s="25">
        <v>46164</v>
      </c>
      <c r="F181" s="4" t="str">
        <f t="shared" si="15"/>
        <v>West</v>
      </c>
      <c r="G181" s="3" t="s">
        <v>67</v>
      </c>
      <c r="H181" s="3" t="s">
        <v>68</v>
      </c>
      <c r="I181" s="3" t="str">
        <f t="shared" si="16"/>
        <v>Retail</v>
      </c>
      <c r="J181" s="3" t="s">
        <v>90</v>
      </c>
      <c r="K181" s="3" t="s">
        <v>69</v>
      </c>
      <c r="L181" s="3" t="str">
        <f t="shared" si="17"/>
        <v>Ergonomic Chair</v>
      </c>
      <c r="M181" s="3" t="s">
        <v>79</v>
      </c>
      <c r="N181" s="5">
        <v>10</v>
      </c>
      <c r="O181" s="6">
        <v>139.04</v>
      </c>
      <c r="P181" s="7">
        <v>0.15</v>
      </c>
      <c r="Q181" s="6">
        <v>1181.8399999999999</v>
      </c>
      <c r="R181" s="6">
        <v>806.43</v>
      </c>
      <c r="S181" s="6">
        <v>375.41</v>
      </c>
      <c r="T181" s="3" t="s">
        <v>54</v>
      </c>
    </row>
    <row r="182" spans="1:20">
      <c r="A182" s="3" t="s">
        <v>268</v>
      </c>
      <c r="B182" s="3" t="str">
        <f t="shared" si="12"/>
        <v>Jan</v>
      </c>
      <c r="C182" s="3" t="str">
        <f t="shared" si="13"/>
        <v>2025</v>
      </c>
      <c r="D182" s="3" t="str">
        <f t="shared" si="14"/>
        <v>Wednesday</v>
      </c>
      <c r="E182" s="25">
        <v>45672</v>
      </c>
      <c r="F182" s="4" t="str">
        <f t="shared" si="15"/>
        <v>South</v>
      </c>
      <c r="G182" s="3" t="s">
        <v>56</v>
      </c>
      <c r="H182" s="3" t="s">
        <v>57</v>
      </c>
      <c r="I182" s="3" t="str">
        <f t="shared" si="16"/>
        <v>Corporate</v>
      </c>
      <c r="J182" s="3" t="s">
        <v>72</v>
      </c>
      <c r="K182" s="3" t="s">
        <v>84</v>
      </c>
      <c r="L182" s="3" t="str">
        <f t="shared" si="17"/>
        <v>Desk Organizer</v>
      </c>
      <c r="M182" s="3" t="s">
        <v>134</v>
      </c>
      <c r="N182" s="5">
        <v>2</v>
      </c>
      <c r="O182" s="6">
        <v>16.7</v>
      </c>
      <c r="P182" s="7">
        <v>0.05</v>
      </c>
      <c r="Q182" s="6">
        <v>31.73</v>
      </c>
      <c r="R182" s="6">
        <v>15.36</v>
      </c>
      <c r="S182" s="6">
        <v>16.37</v>
      </c>
      <c r="T182" s="3" t="s">
        <v>65</v>
      </c>
    </row>
    <row r="183" spans="1:20">
      <c r="A183" s="3" t="s">
        <v>269</v>
      </c>
      <c r="B183" s="3" t="str">
        <f t="shared" si="12"/>
        <v>Apr</v>
      </c>
      <c r="C183" s="3" t="str">
        <f t="shared" si="13"/>
        <v>2026</v>
      </c>
      <c r="D183" s="3" t="str">
        <f t="shared" si="14"/>
        <v>Monday</v>
      </c>
      <c r="E183" s="25">
        <v>46125</v>
      </c>
      <c r="F183" s="4" t="str">
        <f t="shared" si="15"/>
        <v>East</v>
      </c>
      <c r="G183" s="3" t="s">
        <v>61</v>
      </c>
      <c r="H183" s="3" t="s">
        <v>62</v>
      </c>
      <c r="I183" s="3" t="str">
        <f t="shared" si="16"/>
        <v>Online</v>
      </c>
      <c r="J183" s="3" t="s">
        <v>58</v>
      </c>
      <c r="K183" s="3" t="s">
        <v>46</v>
      </c>
      <c r="L183" s="3" t="str">
        <f t="shared" si="17"/>
        <v>Usb-C Hub</v>
      </c>
      <c r="M183" s="3" t="s">
        <v>93</v>
      </c>
      <c r="N183" s="5">
        <v>4</v>
      </c>
      <c r="O183" s="6">
        <v>23.38</v>
      </c>
      <c r="P183" s="7">
        <v>0.15</v>
      </c>
      <c r="Q183" s="6">
        <v>79.489999999999995</v>
      </c>
      <c r="R183" s="6">
        <v>51.44</v>
      </c>
      <c r="S183" s="6">
        <v>28.05</v>
      </c>
      <c r="T183" s="3" t="s">
        <v>54</v>
      </c>
    </row>
    <row r="184" spans="1:20">
      <c r="A184" s="3" t="s">
        <v>270</v>
      </c>
      <c r="B184" s="3" t="str">
        <f t="shared" si="12"/>
        <v>Jan</v>
      </c>
      <c r="C184" s="3" t="str">
        <f t="shared" si="13"/>
        <v>2025</v>
      </c>
      <c r="D184" s="3" t="str">
        <f t="shared" si="14"/>
        <v>Saturday</v>
      </c>
      <c r="E184" s="25">
        <v>45682</v>
      </c>
      <c r="F184" s="4" t="str">
        <f t="shared" si="15"/>
        <v>Central</v>
      </c>
      <c r="G184" s="3" t="s">
        <v>74</v>
      </c>
      <c r="H184" s="3" t="s">
        <v>44</v>
      </c>
      <c r="I184" s="3" t="str">
        <f t="shared" si="16"/>
        <v>Online</v>
      </c>
      <c r="J184" s="3" t="s">
        <v>58</v>
      </c>
      <c r="K184" s="3" t="s">
        <v>46</v>
      </c>
      <c r="L184" s="3" t="str">
        <f t="shared" si="17"/>
        <v>Usb-C Hub</v>
      </c>
      <c r="M184" s="3" t="s">
        <v>93</v>
      </c>
      <c r="N184" s="5">
        <v>2</v>
      </c>
      <c r="O184" s="6">
        <v>24.53</v>
      </c>
      <c r="P184" s="7">
        <v>0.1</v>
      </c>
      <c r="Q184" s="6">
        <v>44.15</v>
      </c>
      <c r="R184" s="6">
        <v>26.98</v>
      </c>
      <c r="S184" s="6">
        <v>17.170000000000002</v>
      </c>
      <c r="T184" s="3" t="s">
        <v>63</v>
      </c>
    </row>
    <row r="185" spans="1:20">
      <c r="A185" s="3" t="s">
        <v>271</v>
      </c>
      <c r="B185" s="3" t="str">
        <f t="shared" si="12"/>
        <v>Jan</v>
      </c>
      <c r="C185" s="3" t="str">
        <f t="shared" si="13"/>
        <v>2026</v>
      </c>
      <c r="D185" s="3" t="str">
        <f t="shared" si="14"/>
        <v>Friday</v>
      </c>
      <c r="E185" s="25">
        <v>46031</v>
      </c>
      <c r="F185" s="4" t="str">
        <f t="shared" si="15"/>
        <v>East</v>
      </c>
      <c r="G185" s="3" t="s">
        <v>61</v>
      </c>
      <c r="H185" s="3" t="s">
        <v>62</v>
      </c>
      <c r="I185" s="3" t="str">
        <f t="shared" si="16"/>
        <v>Retail</v>
      </c>
      <c r="J185" s="3" t="s">
        <v>90</v>
      </c>
      <c r="K185" s="3" t="s">
        <v>84</v>
      </c>
      <c r="L185" s="3" t="str">
        <f t="shared" si="17"/>
        <v>Desk Organizer</v>
      </c>
      <c r="M185" s="3" t="s">
        <v>134</v>
      </c>
      <c r="N185" s="5">
        <v>4</v>
      </c>
      <c r="O185" s="6">
        <v>13.31</v>
      </c>
      <c r="P185" s="7">
        <v>0.1</v>
      </c>
      <c r="Q185" s="6">
        <v>47.92</v>
      </c>
      <c r="R185" s="6">
        <v>24.49</v>
      </c>
      <c r="S185" s="6">
        <v>23.43</v>
      </c>
      <c r="T185" s="3" t="s">
        <v>48</v>
      </c>
    </row>
    <row r="186" spans="1:20">
      <c r="A186" s="3" t="s">
        <v>272</v>
      </c>
      <c r="B186" s="3" t="str">
        <f t="shared" si="12"/>
        <v>Feb</v>
      </c>
      <c r="C186" s="3" t="str">
        <f t="shared" si="13"/>
        <v>2025</v>
      </c>
      <c r="D186" s="3" t="str">
        <f t="shared" si="14"/>
        <v>Tuesday</v>
      </c>
      <c r="E186" s="25">
        <v>45692</v>
      </c>
      <c r="F186" s="4" t="str">
        <f t="shared" si="15"/>
        <v>North</v>
      </c>
      <c r="G186" s="3" t="s">
        <v>50</v>
      </c>
      <c r="H186" s="3" t="s">
        <v>51</v>
      </c>
      <c r="I186" s="3" t="str">
        <f t="shared" si="16"/>
        <v>Corporate</v>
      </c>
      <c r="J186" s="3" t="s">
        <v>72</v>
      </c>
      <c r="K186" s="3" t="s">
        <v>69</v>
      </c>
      <c r="L186" s="3" t="str">
        <f t="shared" si="17"/>
        <v>Standing Desk</v>
      </c>
      <c r="M186" s="3" t="s">
        <v>81</v>
      </c>
      <c r="N186" s="5">
        <v>7</v>
      </c>
      <c r="O186" s="6">
        <v>260.64999999999998</v>
      </c>
      <c r="P186" s="7">
        <v>0.1</v>
      </c>
      <c r="Q186" s="6">
        <v>1642.09</v>
      </c>
      <c r="R186" s="6">
        <v>1094.73</v>
      </c>
      <c r="S186" s="6">
        <v>547.36</v>
      </c>
      <c r="T186" s="3" t="s">
        <v>54</v>
      </c>
    </row>
    <row r="187" spans="1:20">
      <c r="A187" s="3" t="s">
        <v>273</v>
      </c>
      <c r="B187" s="3" t="str">
        <f t="shared" si="12"/>
        <v>Apr</v>
      </c>
      <c r="C187" s="3" t="str">
        <f t="shared" si="13"/>
        <v>2026</v>
      </c>
      <c r="D187" s="3" t="str">
        <f t="shared" si="14"/>
        <v>Thursday</v>
      </c>
      <c r="E187" s="25">
        <v>46114</v>
      </c>
      <c r="F187" s="4" t="str">
        <f t="shared" si="15"/>
        <v>South</v>
      </c>
      <c r="G187" s="3" t="s">
        <v>56</v>
      </c>
      <c r="H187" s="3" t="s">
        <v>57</v>
      </c>
      <c r="I187" s="3" t="str">
        <f t="shared" si="16"/>
        <v>Online</v>
      </c>
      <c r="J187" s="3" t="s">
        <v>58</v>
      </c>
      <c r="K187" s="3" t="s">
        <v>46</v>
      </c>
      <c r="L187" s="3" t="str">
        <f t="shared" si="17"/>
        <v>Usb-C Hub</v>
      </c>
      <c r="M187" s="3" t="s">
        <v>93</v>
      </c>
      <c r="N187" s="5">
        <v>11</v>
      </c>
      <c r="O187" s="6">
        <v>26.54</v>
      </c>
      <c r="P187" s="7">
        <v>0.15</v>
      </c>
      <c r="Q187" s="6">
        <v>248.15</v>
      </c>
      <c r="R187" s="6">
        <v>160.57</v>
      </c>
      <c r="S187" s="6">
        <v>87.58</v>
      </c>
      <c r="T187" s="3" t="s">
        <v>48</v>
      </c>
    </row>
    <row r="188" spans="1:20">
      <c r="A188" s="3" t="s">
        <v>274</v>
      </c>
      <c r="B188" s="3" t="str">
        <f t="shared" si="12"/>
        <v>Dec</v>
      </c>
      <c r="C188" s="3" t="str">
        <f t="shared" si="13"/>
        <v>2025</v>
      </c>
      <c r="D188" s="3" t="str">
        <f t="shared" si="14"/>
        <v>Sunday</v>
      </c>
      <c r="E188" s="25">
        <v>46005</v>
      </c>
      <c r="F188" s="4" t="str">
        <f t="shared" si="15"/>
        <v>Central</v>
      </c>
      <c r="G188" s="3" t="s">
        <v>74</v>
      </c>
      <c r="H188" s="3" t="s">
        <v>44</v>
      </c>
      <c r="I188" s="3" t="str">
        <f t="shared" si="16"/>
        <v>Corporate</v>
      </c>
      <c r="J188" s="3" t="s">
        <v>72</v>
      </c>
      <c r="K188" s="3" t="s">
        <v>69</v>
      </c>
      <c r="L188" s="3" t="str">
        <f t="shared" si="17"/>
        <v>Ergonomic Chair</v>
      </c>
      <c r="M188" s="3" t="s">
        <v>79</v>
      </c>
      <c r="N188" s="5">
        <v>1</v>
      </c>
      <c r="O188" s="6">
        <v>139.94</v>
      </c>
      <c r="P188" s="7">
        <v>0</v>
      </c>
      <c r="Q188" s="6">
        <v>139.94</v>
      </c>
      <c r="R188" s="6">
        <v>81.17</v>
      </c>
      <c r="S188" s="6">
        <v>58.77</v>
      </c>
      <c r="T188" s="3" t="s">
        <v>65</v>
      </c>
    </row>
    <row r="189" spans="1:20">
      <c r="A189" s="3" t="s">
        <v>275</v>
      </c>
      <c r="B189" s="3" t="str">
        <f t="shared" si="12"/>
        <v>Dec</v>
      </c>
      <c r="C189" s="3" t="str">
        <f t="shared" si="13"/>
        <v>2026</v>
      </c>
      <c r="D189" s="3" t="str">
        <f t="shared" si="14"/>
        <v>Thursday</v>
      </c>
      <c r="E189" s="25">
        <v>46380</v>
      </c>
      <c r="F189" s="4" t="str">
        <f t="shared" si="15"/>
        <v>North</v>
      </c>
      <c r="G189" s="3" t="s">
        <v>50</v>
      </c>
      <c r="H189" s="3" t="s">
        <v>51</v>
      </c>
      <c r="I189" s="3" t="str">
        <f t="shared" si="16"/>
        <v>Wholesale</v>
      </c>
      <c r="J189" s="3" t="s">
        <v>45</v>
      </c>
      <c r="K189" s="3" t="s">
        <v>69</v>
      </c>
      <c r="L189" s="3" t="str">
        <f t="shared" si="17"/>
        <v>Bookshelf</v>
      </c>
      <c r="M189" s="3" t="s">
        <v>70</v>
      </c>
      <c r="N189" s="5">
        <v>7</v>
      </c>
      <c r="O189" s="6">
        <v>93.81</v>
      </c>
      <c r="P189" s="7">
        <v>0</v>
      </c>
      <c r="Q189" s="6">
        <v>656.67</v>
      </c>
      <c r="R189" s="6">
        <v>341.47</v>
      </c>
      <c r="S189" s="6">
        <v>315.2</v>
      </c>
      <c r="T189" s="3" t="s">
        <v>63</v>
      </c>
    </row>
    <row r="190" spans="1:20">
      <c r="A190" s="3" t="s">
        <v>276</v>
      </c>
      <c r="B190" s="3" t="str">
        <f t="shared" si="12"/>
        <v>Apr</v>
      </c>
      <c r="C190" s="3" t="str">
        <f t="shared" si="13"/>
        <v>2025</v>
      </c>
      <c r="D190" s="3" t="str">
        <f t="shared" si="14"/>
        <v>Tuesday</v>
      </c>
      <c r="E190" s="25">
        <v>45769</v>
      </c>
      <c r="F190" s="4" t="str">
        <f t="shared" si="15"/>
        <v>North</v>
      </c>
      <c r="G190" s="3" t="s">
        <v>50</v>
      </c>
      <c r="H190" s="3" t="s">
        <v>51</v>
      </c>
      <c r="I190" s="3" t="str">
        <f t="shared" si="16"/>
        <v>Retail</v>
      </c>
      <c r="J190" s="3" t="s">
        <v>90</v>
      </c>
      <c r="K190" s="3" t="s">
        <v>84</v>
      </c>
      <c r="L190" s="3" t="str">
        <f t="shared" si="17"/>
        <v>Printer Paper</v>
      </c>
      <c r="M190" s="3" t="s">
        <v>277</v>
      </c>
      <c r="N190" s="5">
        <v>4</v>
      </c>
      <c r="O190" s="6">
        <v>12.08</v>
      </c>
      <c r="P190" s="7">
        <v>0</v>
      </c>
      <c r="Q190" s="6">
        <v>48.32</v>
      </c>
      <c r="R190" s="6">
        <v>18.36</v>
      </c>
      <c r="S190" s="6">
        <v>29.96</v>
      </c>
      <c r="T190" s="3" t="s">
        <v>48</v>
      </c>
    </row>
    <row r="191" spans="1:20">
      <c r="A191" s="3" t="s">
        <v>278</v>
      </c>
      <c r="B191" s="3" t="str">
        <f t="shared" si="12"/>
        <v>Feb</v>
      </c>
      <c r="C191" s="3" t="str">
        <f t="shared" si="13"/>
        <v>2026</v>
      </c>
      <c r="D191" s="3" t="str">
        <f t="shared" si="14"/>
        <v>Wednesday</v>
      </c>
      <c r="E191" s="25">
        <v>46064</v>
      </c>
      <c r="F191" s="4" t="str">
        <f t="shared" si="15"/>
        <v>Central</v>
      </c>
      <c r="G191" s="3" t="s">
        <v>74</v>
      </c>
      <c r="H191" s="3" t="s">
        <v>44</v>
      </c>
      <c r="I191" s="3" t="str">
        <f t="shared" si="16"/>
        <v>Retail</v>
      </c>
      <c r="J191" s="3" t="s">
        <v>90</v>
      </c>
      <c r="K191" s="3" t="s">
        <v>84</v>
      </c>
      <c r="L191" s="3" t="str">
        <f t="shared" si="17"/>
        <v>Desk Organizer</v>
      </c>
      <c r="M191" s="3" t="s">
        <v>134</v>
      </c>
      <c r="N191" s="5">
        <v>11</v>
      </c>
      <c r="O191" s="6">
        <v>13.91</v>
      </c>
      <c r="P191" s="7">
        <v>0.1</v>
      </c>
      <c r="Q191" s="6">
        <v>137.71</v>
      </c>
      <c r="R191" s="6">
        <v>70.38</v>
      </c>
      <c r="S191" s="6">
        <v>67.33</v>
      </c>
      <c r="T191" s="3" t="s">
        <v>63</v>
      </c>
    </row>
    <row r="192" spans="1:20">
      <c r="A192" s="3" t="s">
        <v>279</v>
      </c>
      <c r="B192" s="3" t="str">
        <f t="shared" si="12"/>
        <v>Jan</v>
      </c>
      <c r="C192" s="3" t="str">
        <f t="shared" si="13"/>
        <v>2025</v>
      </c>
      <c r="D192" s="3" t="str">
        <f t="shared" si="14"/>
        <v>Wednesday</v>
      </c>
      <c r="E192" s="25">
        <v>45672</v>
      </c>
      <c r="F192" s="4" t="str">
        <f t="shared" si="15"/>
        <v>Central</v>
      </c>
      <c r="G192" s="3" t="s">
        <v>74</v>
      </c>
      <c r="H192" s="3" t="s">
        <v>44</v>
      </c>
      <c r="I192" s="3" t="str">
        <f t="shared" si="16"/>
        <v>Online</v>
      </c>
      <c r="J192" s="3" t="s">
        <v>58</v>
      </c>
      <c r="K192" s="3" t="s">
        <v>84</v>
      </c>
      <c r="L192" s="3" t="str">
        <f t="shared" si="17"/>
        <v>Notebook Set</v>
      </c>
      <c r="M192" s="3" t="s">
        <v>85</v>
      </c>
      <c r="N192" s="5">
        <v>9</v>
      </c>
      <c r="O192" s="6">
        <v>8.73</v>
      </c>
      <c r="P192" s="7">
        <v>0</v>
      </c>
      <c r="Q192" s="6">
        <v>78.569999999999993</v>
      </c>
      <c r="R192" s="6">
        <v>31.43</v>
      </c>
      <c r="S192" s="6">
        <v>47.14</v>
      </c>
      <c r="T192" s="3" t="s">
        <v>77</v>
      </c>
    </row>
    <row r="193" spans="1:20">
      <c r="A193" s="3" t="s">
        <v>280</v>
      </c>
      <c r="B193" s="3" t="str">
        <f t="shared" si="12"/>
        <v>Jan</v>
      </c>
      <c r="C193" s="3" t="str">
        <f t="shared" si="13"/>
        <v>2026</v>
      </c>
      <c r="D193" s="3" t="str">
        <f t="shared" si="14"/>
        <v>Monday</v>
      </c>
      <c r="E193" s="25">
        <v>46027</v>
      </c>
      <c r="F193" s="4" t="str">
        <f t="shared" si="15"/>
        <v>West</v>
      </c>
      <c r="G193" s="3" t="s">
        <v>67</v>
      </c>
      <c r="H193" s="3" t="s">
        <v>68</v>
      </c>
      <c r="I193" s="3" t="str">
        <f t="shared" si="16"/>
        <v>Retail</v>
      </c>
      <c r="J193" s="3" t="s">
        <v>90</v>
      </c>
      <c r="K193" s="3" t="s">
        <v>69</v>
      </c>
      <c r="L193" s="3" t="str">
        <f t="shared" si="17"/>
        <v>Bookshelf</v>
      </c>
      <c r="M193" s="3" t="s">
        <v>70</v>
      </c>
      <c r="N193" s="5">
        <v>3</v>
      </c>
      <c r="O193" s="6">
        <v>94.61</v>
      </c>
      <c r="P193" s="7">
        <v>0.15</v>
      </c>
      <c r="Q193" s="6">
        <v>241.26</v>
      </c>
      <c r="R193" s="6">
        <v>147.59</v>
      </c>
      <c r="S193" s="6">
        <v>93.67</v>
      </c>
      <c r="T193" s="3" t="s">
        <v>63</v>
      </c>
    </row>
    <row r="194" spans="1:20">
      <c r="A194" s="3" t="s">
        <v>281</v>
      </c>
      <c r="B194" s="3" t="str">
        <f t="shared" ref="B194:B257" si="18">TEXT(E:E,"mmm")</f>
        <v>Aug</v>
      </c>
      <c r="C194" s="3" t="str">
        <f t="shared" ref="C194:C257" si="19">TEXT(E:E,"YYYY")</f>
        <v>2025</v>
      </c>
      <c r="D194" s="3" t="str">
        <f t="shared" ref="D194:D257" si="20">TEXT(E:E,"DDDD")</f>
        <v>Tuesday</v>
      </c>
      <c r="E194" s="25">
        <v>45895</v>
      </c>
      <c r="F194" s="4" t="str">
        <f>PROPER(G:G)</f>
        <v>West</v>
      </c>
      <c r="G194" s="3" t="s">
        <v>67</v>
      </c>
      <c r="H194" s="3" t="s">
        <v>68</v>
      </c>
      <c r="I194" s="3" t="str">
        <f t="shared" ref="I194:I257" si="21">PROPER(J:J)</f>
        <v>Online</v>
      </c>
      <c r="J194" s="3" t="s">
        <v>58</v>
      </c>
      <c r="K194" s="3" t="s">
        <v>69</v>
      </c>
      <c r="L194" s="3" t="str">
        <f t="shared" ref="L194:L257" si="22">PROPER(TRIM(M:M))</f>
        <v>Bookshelf</v>
      </c>
      <c r="M194" s="3" t="s">
        <v>70</v>
      </c>
      <c r="N194" s="5">
        <v>4</v>
      </c>
      <c r="O194" s="6">
        <v>94.08</v>
      </c>
      <c r="P194" s="7">
        <v>0.05</v>
      </c>
      <c r="Q194" s="6">
        <v>357.5</v>
      </c>
      <c r="R194" s="6">
        <v>195.69</v>
      </c>
      <c r="S194" s="6">
        <v>161.81</v>
      </c>
      <c r="T194" s="3" t="s">
        <v>63</v>
      </c>
    </row>
    <row r="195" spans="1:20">
      <c r="A195" s="3" t="s">
        <v>282</v>
      </c>
      <c r="B195" s="3" t="str">
        <f t="shared" si="18"/>
        <v>Dec</v>
      </c>
      <c r="C195" s="3" t="str">
        <f t="shared" si="19"/>
        <v>2026</v>
      </c>
      <c r="D195" s="3" t="str">
        <f t="shared" si="20"/>
        <v>Sunday</v>
      </c>
      <c r="E195" s="25">
        <v>46362</v>
      </c>
      <c r="F195" s="4" t="str">
        <f>PROPER(G:G)</f>
        <v>North</v>
      </c>
      <c r="G195" s="3" t="s">
        <v>50</v>
      </c>
      <c r="H195" s="3" t="s">
        <v>51</v>
      </c>
      <c r="I195" s="3" t="str">
        <f t="shared" si="21"/>
        <v>Online</v>
      </c>
      <c r="J195" s="3" t="s">
        <v>58</v>
      </c>
      <c r="K195" s="3" t="s">
        <v>46</v>
      </c>
      <c r="L195" s="3" t="str">
        <f t="shared" si="22"/>
        <v>Laptop Stand</v>
      </c>
      <c r="M195" s="3" t="s">
        <v>116</v>
      </c>
      <c r="N195" s="5">
        <v>9</v>
      </c>
      <c r="O195" s="6">
        <v>21.82</v>
      </c>
      <c r="P195" s="7">
        <v>0</v>
      </c>
      <c r="Q195" s="6">
        <v>196.38</v>
      </c>
      <c r="R195" s="6">
        <v>98.19</v>
      </c>
      <c r="S195" s="6">
        <v>98.19</v>
      </c>
      <c r="T195" s="3" t="s">
        <v>54</v>
      </c>
    </row>
    <row r="196" spans="1:20">
      <c r="A196" s="3" t="s">
        <v>283</v>
      </c>
      <c r="B196" s="3" t="str">
        <f t="shared" si="18"/>
        <v>Nov</v>
      </c>
      <c r="C196" s="3" t="str">
        <f t="shared" si="19"/>
        <v>2025</v>
      </c>
      <c r="D196" s="3" t="str">
        <f t="shared" si="20"/>
        <v>Wednesday</v>
      </c>
      <c r="E196" s="25">
        <v>45973</v>
      </c>
      <c r="F196" s="4" t="str">
        <f>PROPER(G:G)</f>
        <v>West</v>
      </c>
      <c r="G196" s="3" t="s">
        <v>67</v>
      </c>
      <c r="H196" s="3" t="s">
        <v>68</v>
      </c>
      <c r="I196" s="3" t="str">
        <f t="shared" si="21"/>
        <v>Online</v>
      </c>
      <c r="J196" s="3" t="s">
        <v>58</v>
      </c>
      <c r="K196" s="3" t="s">
        <v>84</v>
      </c>
      <c r="L196" s="3" t="str">
        <f t="shared" si="22"/>
        <v>Desk Organizer</v>
      </c>
      <c r="M196" s="3" t="s">
        <v>134</v>
      </c>
      <c r="N196" s="5">
        <v>7</v>
      </c>
      <c r="O196" s="6">
        <v>16.55</v>
      </c>
      <c r="P196" s="7">
        <v>0.15</v>
      </c>
      <c r="Q196" s="6">
        <v>98.47</v>
      </c>
      <c r="R196" s="6">
        <v>53.29</v>
      </c>
      <c r="S196" s="6">
        <v>45.18</v>
      </c>
      <c r="T196" s="3" t="s">
        <v>65</v>
      </c>
    </row>
    <row r="197" spans="1:20">
      <c r="A197" s="3" t="s">
        <v>284</v>
      </c>
      <c r="B197" s="3" t="str">
        <f t="shared" si="18"/>
        <v>Nov</v>
      </c>
      <c r="C197" s="3" t="str">
        <f t="shared" si="19"/>
        <v>2026</v>
      </c>
      <c r="D197" s="3" t="str">
        <f t="shared" si="20"/>
        <v>Wednesday</v>
      </c>
      <c r="E197" s="25">
        <v>46330</v>
      </c>
      <c r="F197" s="4" t="str">
        <f>PROPER(G:G)</f>
        <v>Central</v>
      </c>
      <c r="G197" s="3" t="s">
        <v>74</v>
      </c>
      <c r="H197" s="3" t="s">
        <v>44</v>
      </c>
      <c r="I197" s="3" t="str">
        <f t="shared" si="21"/>
        <v>Online</v>
      </c>
      <c r="J197" s="3" t="s">
        <v>58</v>
      </c>
      <c r="K197" s="3" t="s">
        <v>84</v>
      </c>
      <c r="L197" s="3" t="str">
        <f t="shared" si="22"/>
        <v>Desk Organizer</v>
      </c>
      <c r="M197" s="3" t="s">
        <v>134</v>
      </c>
      <c r="N197" s="5">
        <v>4</v>
      </c>
      <c r="O197" s="6">
        <v>13.12</v>
      </c>
      <c r="P197" s="7">
        <v>0.15</v>
      </c>
      <c r="Q197" s="6">
        <v>44.61</v>
      </c>
      <c r="R197" s="6">
        <v>24.14</v>
      </c>
      <c r="S197" s="6">
        <v>20.47</v>
      </c>
      <c r="T197" s="3" t="s">
        <v>88</v>
      </c>
    </row>
    <row r="198" spans="1:20">
      <c r="A198" s="3" t="s">
        <v>285</v>
      </c>
      <c r="B198" s="3" t="str">
        <f t="shared" si="18"/>
        <v>Oct</v>
      </c>
      <c r="C198" s="3" t="str">
        <f t="shared" si="19"/>
        <v>2025</v>
      </c>
      <c r="D198" s="3" t="str">
        <f t="shared" si="20"/>
        <v>Friday</v>
      </c>
      <c r="E198" s="25">
        <v>45940</v>
      </c>
      <c r="F198" s="4" t="str">
        <f>PROPER(G:G)</f>
        <v>West</v>
      </c>
      <c r="G198" s="3" t="s">
        <v>67</v>
      </c>
      <c r="H198" s="3" t="s">
        <v>68</v>
      </c>
      <c r="I198" s="3" t="str">
        <f t="shared" si="21"/>
        <v>Online</v>
      </c>
      <c r="J198" s="3" t="s">
        <v>58</v>
      </c>
      <c r="K198" s="3" t="s">
        <v>84</v>
      </c>
      <c r="L198" s="3" t="str">
        <f t="shared" si="22"/>
        <v>Notebook Set</v>
      </c>
      <c r="M198" s="3" t="s">
        <v>85</v>
      </c>
      <c r="N198" s="5">
        <v>10</v>
      </c>
      <c r="O198" s="6">
        <v>6.61</v>
      </c>
      <c r="P198" s="7">
        <v>0</v>
      </c>
      <c r="Q198" s="6">
        <v>66.099999999999994</v>
      </c>
      <c r="R198" s="6">
        <v>26.44</v>
      </c>
      <c r="S198" s="6">
        <v>39.659999999999997</v>
      </c>
      <c r="T198" s="3" t="s">
        <v>48</v>
      </c>
    </row>
    <row r="199" spans="1:20">
      <c r="A199" s="3" t="s">
        <v>286</v>
      </c>
      <c r="B199" s="3" t="str">
        <f t="shared" si="18"/>
        <v>May</v>
      </c>
      <c r="C199" s="3" t="str">
        <f t="shared" si="19"/>
        <v>2026</v>
      </c>
      <c r="D199" s="3" t="str">
        <f t="shared" si="20"/>
        <v>Tuesday</v>
      </c>
      <c r="E199" s="25">
        <v>46168</v>
      </c>
      <c r="F199" s="4" t="str">
        <f>PROPER(G:G)</f>
        <v>South</v>
      </c>
      <c r="G199" s="3" t="s">
        <v>56</v>
      </c>
      <c r="H199" s="3" t="s">
        <v>57</v>
      </c>
      <c r="I199" s="3" t="str">
        <f t="shared" si="21"/>
        <v>Online</v>
      </c>
      <c r="J199" s="3" t="s">
        <v>58</v>
      </c>
      <c r="K199" s="3" t="s">
        <v>69</v>
      </c>
      <c r="L199" s="3" t="str">
        <f t="shared" si="22"/>
        <v>Standing Desk</v>
      </c>
      <c r="M199" s="3" t="s">
        <v>81</v>
      </c>
      <c r="N199" s="5">
        <v>6</v>
      </c>
      <c r="O199" s="6">
        <v>261.13</v>
      </c>
      <c r="P199" s="7">
        <v>0</v>
      </c>
      <c r="Q199" s="6">
        <v>1566.78</v>
      </c>
      <c r="R199" s="6">
        <v>940.07</v>
      </c>
      <c r="S199" s="6">
        <v>626.71</v>
      </c>
      <c r="T199" s="3" t="s">
        <v>65</v>
      </c>
    </row>
    <row r="200" spans="1:20">
      <c r="A200" s="3" t="s">
        <v>287</v>
      </c>
      <c r="B200" s="3" t="str">
        <f t="shared" si="18"/>
        <v>May</v>
      </c>
      <c r="C200" s="3" t="str">
        <f t="shared" si="19"/>
        <v>2025</v>
      </c>
      <c r="D200" s="3" t="str">
        <f t="shared" si="20"/>
        <v>Friday</v>
      </c>
      <c r="E200" s="25">
        <v>45800</v>
      </c>
      <c r="F200" s="4" t="str">
        <f>PROPER(G:G)</f>
        <v>North</v>
      </c>
      <c r="G200" s="3" t="s">
        <v>50</v>
      </c>
      <c r="H200" s="3" t="s">
        <v>51</v>
      </c>
      <c r="I200" s="3" t="str">
        <f t="shared" si="21"/>
        <v>Online</v>
      </c>
      <c r="J200" s="3" t="s">
        <v>288</v>
      </c>
      <c r="K200" s="3" t="s">
        <v>84</v>
      </c>
      <c r="L200" s="3" t="str">
        <f t="shared" si="22"/>
        <v>Notebook Set</v>
      </c>
      <c r="M200" s="3" t="s">
        <v>85</v>
      </c>
      <c r="N200" s="5">
        <v>7</v>
      </c>
      <c r="O200" s="6">
        <v>6.35</v>
      </c>
      <c r="P200" s="7">
        <v>0</v>
      </c>
      <c r="Q200" s="6">
        <v>44.45</v>
      </c>
      <c r="R200" s="6">
        <v>17.78</v>
      </c>
      <c r="S200" s="6">
        <v>26.67</v>
      </c>
      <c r="T200" s="3" t="s">
        <v>77</v>
      </c>
    </row>
    <row r="201" spans="1:20">
      <c r="A201" s="3" t="s">
        <v>289</v>
      </c>
      <c r="B201" s="3" t="str">
        <f t="shared" si="18"/>
        <v>May</v>
      </c>
      <c r="C201" s="3" t="str">
        <f t="shared" si="19"/>
        <v>2026</v>
      </c>
      <c r="D201" s="3" t="str">
        <f t="shared" si="20"/>
        <v>Friday</v>
      </c>
      <c r="E201" s="25">
        <v>46143</v>
      </c>
      <c r="F201" s="4" t="str">
        <f>PROPER(G:G)</f>
        <v>Central</v>
      </c>
      <c r="G201" s="3" t="s">
        <v>74</v>
      </c>
      <c r="H201" s="3" t="s">
        <v>44</v>
      </c>
      <c r="I201" s="3" t="str">
        <f t="shared" si="21"/>
        <v>Corporate</v>
      </c>
      <c r="J201" s="3" t="s">
        <v>72</v>
      </c>
      <c r="K201" s="3" t="s">
        <v>69</v>
      </c>
      <c r="L201" s="3" t="str">
        <f t="shared" si="22"/>
        <v>Ergonomic Chair</v>
      </c>
      <c r="M201" s="3" t="s">
        <v>79</v>
      </c>
      <c r="N201" s="5">
        <v>1</v>
      </c>
      <c r="O201" s="6">
        <v>138.49</v>
      </c>
      <c r="P201" s="7">
        <v>0.05</v>
      </c>
      <c r="Q201" s="6">
        <v>131.57</v>
      </c>
      <c r="R201" s="6">
        <v>80.319999999999993</v>
      </c>
      <c r="S201" s="6">
        <v>51.25</v>
      </c>
      <c r="T201" s="3" t="s">
        <v>54</v>
      </c>
    </row>
    <row r="202" spans="1:20">
      <c r="A202" s="3" t="s">
        <v>290</v>
      </c>
      <c r="B202" s="3" t="str">
        <f t="shared" si="18"/>
        <v>Jun</v>
      </c>
      <c r="C202" s="3" t="str">
        <f t="shared" si="19"/>
        <v>2025</v>
      </c>
      <c r="D202" s="3" t="str">
        <f t="shared" si="20"/>
        <v>Thursday</v>
      </c>
      <c r="E202" s="25">
        <v>45827</v>
      </c>
      <c r="F202" s="4" t="str">
        <f>PROPER(G:G)</f>
        <v>West</v>
      </c>
      <c r="G202" s="3" t="s">
        <v>67</v>
      </c>
      <c r="H202" s="3" t="s">
        <v>68</v>
      </c>
      <c r="I202" s="3" t="str">
        <f t="shared" si="21"/>
        <v>Wholesale</v>
      </c>
      <c r="J202" s="3" t="s">
        <v>45</v>
      </c>
      <c r="K202" s="3" t="s">
        <v>52</v>
      </c>
      <c r="L202" s="3" t="str">
        <f t="shared" si="22"/>
        <v>Water Bottle</v>
      </c>
      <c r="M202" s="3" t="s">
        <v>53</v>
      </c>
      <c r="N202" s="5">
        <v>9</v>
      </c>
      <c r="O202" s="6">
        <v>8.31</v>
      </c>
      <c r="P202" s="7">
        <v>0.15</v>
      </c>
      <c r="Q202" s="6">
        <v>63.57</v>
      </c>
      <c r="R202" s="6">
        <v>32.159999999999997</v>
      </c>
      <c r="S202" s="6">
        <v>31.41</v>
      </c>
      <c r="T202" s="3" t="s">
        <v>54</v>
      </c>
    </row>
    <row r="203" spans="1:20">
      <c r="A203" s="3" t="s">
        <v>291</v>
      </c>
      <c r="B203" s="3" t="str">
        <f t="shared" si="18"/>
        <v>Nov</v>
      </c>
      <c r="C203" s="3" t="str">
        <f t="shared" si="19"/>
        <v>2026</v>
      </c>
      <c r="D203" s="3" t="str">
        <f t="shared" si="20"/>
        <v>Saturday</v>
      </c>
      <c r="E203" s="25">
        <v>46347</v>
      </c>
      <c r="F203" s="4" t="str">
        <f>PROPER(G:G)</f>
        <v>South</v>
      </c>
      <c r="G203" s="3" t="s">
        <v>56</v>
      </c>
      <c r="H203" s="3" t="s">
        <v>57</v>
      </c>
      <c r="I203" s="3" t="str">
        <f t="shared" si="21"/>
        <v>Corporate</v>
      </c>
      <c r="J203" s="3" t="s">
        <v>72</v>
      </c>
      <c r="K203" s="3" t="s">
        <v>46</v>
      </c>
      <c r="L203" s="3" t="str">
        <f t="shared" si="22"/>
        <v>Wireless Mouse</v>
      </c>
      <c r="M203" s="3" t="s">
        <v>75</v>
      </c>
      <c r="N203" s="5">
        <v>3</v>
      </c>
      <c r="O203" s="6">
        <v>17.739999999999998</v>
      </c>
      <c r="P203" s="7">
        <v>0.1</v>
      </c>
      <c r="Q203" s="6">
        <v>47.9</v>
      </c>
      <c r="R203" s="6">
        <v>25.55</v>
      </c>
      <c r="S203" s="6">
        <v>22.35</v>
      </c>
      <c r="T203" s="3" t="s">
        <v>48</v>
      </c>
    </row>
    <row r="204" spans="1:20">
      <c r="A204" s="3" t="s">
        <v>292</v>
      </c>
      <c r="B204" s="3" t="str">
        <f t="shared" si="18"/>
        <v>Nov</v>
      </c>
      <c r="C204" s="3" t="str">
        <f t="shared" si="19"/>
        <v>2025</v>
      </c>
      <c r="D204" s="3" t="str">
        <f t="shared" si="20"/>
        <v>Monday</v>
      </c>
      <c r="E204" s="25">
        <v>45978</v>
      </c>
      <c r="F204" s="4" t="str">
        <f>PROPER(G:G)</f>
        <v>Central</v>
      </c>
      <c r="G204" s="3" t="s">
        <v>74</v>
      </c>
      <c r="H204" s="3" t="s">
        <v>44</v>
      </c>
      <c r="I204" s="3" t="str">
        <f t="shared" si="21"/>
        <v>Wholesale</v>
      </c>
      <c r="J204" s="3" t="s">
        <v>45</v>
      </c>
      <c r="K204" s="3" t="s">
        <v>84</v>
      </c>
      <c r="L204" s="3" t="str">
        <f t="shared" si="22"/>
        <v>Desk Organizer</v>
      </c>
      <c r="M204" s="3" t="s">
        <v>134</v>
      </c>
      <c r="N204" s="5">
        <v>5</v>
      </c>
      <c r="O204" s="6">
        <v>13.84</v>
      </c>
      <c r="P204" s="7">
        <v>0.1</v>
      </c>
      <c r="Q204" s="6">
        <v>62.28</v>
      </c>
      <c r="R204" s="6">
        <v>31.83</v>
      </c>
      <c r="S204" s="6">
        <v>30.45</v>
      </c>
      <c r="T204" s="3" t="s">
        <v>63</v>
      </c>
    </row>
    <row r="205" spans="1:20">
      <c r="A205" s="3" t="s">
        <v>293</v>
      </c>
      <c r="B205" s="3" t="str">
        <f t="shared" si="18"/>
        <v>Mar</v>
      </c>
      <c r="C205" s="3" t="str">
        <f t="shared" si="19"/>
        <v>2026</v>
      </c>
      <c r="D205" s="3" t="str">
        <f t="shared" si="20"/>
        <v>Monday</v>
      </c>
      <c r="E205" s="25">
        <v>46104</v>
      </c>
      <c r="F205" s="4" t="str">
        <f>PROPER(TRIM(F2))</f>
        <v>Central</v>
      </c>
      <c r="G205" s="3" t="s">
        <v>74</v>
      </c>
      <c r="H205" s="3" t="s">
        <v>44</v>
      </c>
      <c r="I205" s="3" t="str">
        <f t="shared" si="21"/>
        <v>Retail</v>
      </c>
      <c r="J205" s="3" t="s">
        <v>90</v>
      </c>
      <c r="K205" s="3" t="s">
        <v>52</v>
      </c>
      <c r="L205" s="3" t="str">
        <f t="shared" si="22"/>
        <v>Water Bottle</v>
      </c>
      <c r="M205" s="3" t="s">
        <v>53</v>
      </c>
      <c r="N205" s="5">
        <v>11</v>
      </c>
      <c r="O205" s="6">
        <v>11.6</v>
      </c>
      <c r="P205" s="7">
        <v>0</v>
      </c>
      <c r="Q205" s="6">
        <v>127.6</v>
      </c>
      <c r="R205" s="6">
        <v>54.87</v>
      </c>
      <c r="S205" s="6">
        <v>72.73</v>
      </c>
      <c r="T205" s="3" t="s">
        <v>54</v>
      </c>
    </row>
    <row r="206" spans="1:20">
      <c r="A206" s="3" t="s">
        <v>294</v>
      </c>
      <c r="B206" s="3" t="str">
        <f t="shared" si="18"/>
        <v>Jun</v>
      </c>
      <c r="C206" s="3" t="str">
        <f t="shared" si="19"/>
        <v>2025</v>
      </c>
      <c r="D206" s="3" t="str">
        <f t="shared" si="20"/>
        <v>Tuesday</v>
      </c>
      <c r="E206" s="25">
        <v>45818</v>
      </c>
      <c r="F206" s="4" t="str">
        <f>PROPER(G:G)</f>
        <v>South</v>
      </c>
      <c r="G206" s="3" t="s">
        <v>56</v>
      </c>
      <c r="H206" s="3" t="s">
        <v>57</v>
      </c>
      <c r="I206" s="3" t="str">
        <f t="shared" si="21"/>
        <v>Retail</v>
      </c>
      <c r="J206" s="3" t="s">
        <v>90</v>
      </c>
      <c r="K206" s="3" t="s">
        <v>52</v>
      </c>
      <c r="L206" s="3" t="str">
        <f t="shared" si="22"/>
        <v>Laptop Sleeve</v>
      </c>
      <c r="M206" s="3" t="s">
        <v>91</v>
      </c>
      <c r="N206" s="5">
        <v>11</v>
      </c>
      <c r="O206" s="6">
        <v>20.23</v>
      </c>
      <c r="P206" s="7">
        <v>0.1</v>
      </c>
      <c r="Q206" s="6">
        <v>200.28</v>
      </c>
      <c r="R206" s="6">
        <v>109.04</v>
      </c>
      <c r="S206" s="6">
        <v>91.24</v>
      </c>
      <c r="T206" s="3" t="s">
        <v>54</v>
      </c>
    </row>
    <row r="207" spans="1:20">
      <c r="A207" s="3" t="s">
        <v>295</v>
      </c>
      <c r="B207" s="3" t="str">
        <f t="shared" si="18"/>
        <v>May</v>
      </c>
      <c r="C207" s="3" t="str">
        <f t="shared" si="19"/>
        <v>2026</v>
      </c>
      <c r="D207" s="3" t="str">
        <f t="shared" si="20"/>
        <v>Monday</v>
      </c>
      <c r="E207" s="25">
        <v>46153</v>
      </c>
      <c r="F207" s="4" t="str">
        <f>PROPER(G:G)</f>
        <v>West</v>
      </c>
      <c r="G207" s="3" t="s">
        <v>251</v>
      </c>
      <c r="H207" s="3" t="s">
        <v>68</v>
      </c>
      <c r="I207" s="3" t="str">
        <f t="shared" si="21"/>
        <v>Online</v>
      </c>
      <c r="J207" s="3" t="s">
        <v>58</v>
      </c>
      <c r="K207" s="3" t="s">
        <v>52</v>
      </c>
      <c r="L207" s="3" t="str">
        <f t="shared" si="22"/>
        <v>Keyboard Cover</v>
      </c>
      <c r="M207" s="3" t="s">
        <v>59</v>
      </c>
      <c r="N207" s="5">
        <v>12</v>
      </c>
      <c r="O207" s="6">
        <v>10.09</v>
      </c>
      <c r="P207" s="7">
        <v>0.1</v>
      </c>
      <c r="Q207" s="6">
        <v>108.97</v>
      </c>
      <c r="R207" s="6">
        <v>49.64</v>
      </c>
      <c r="S207" s="6">
        <v>59.33</v>
      </c>
      <c r="T207" s="3" t="s">
        <v>54</v>
      </c>
    </row>
    <row r="208" spans="1:20">
      <c r="A208" s="3" t="s">
        <v>296</v>
      </c>
      <c r="B208" s="3" t="str">
        <f t="shared" si="18"/>
        <v>Jan</v>
      </c>
      <c r="C208" s="3" t="str">
        <f t="shared" si="19"/>
        <v>2025</v>
      </c>
      <c r="D208" s="3" t="str">
        <f t="shared" si="20"/>
        <v>Tuesday</v>
      </c>
      <c r="E208" s="25">
        <v>45671</v>
      </c>
      <c r="F208" s="4" t="str">
        <f>PROPER(G:G)</f>
        <v>Central</v>
      </c>
      <c r="G208" s="3" t="s">
        <v>74</v>
      </c>
      <c r="H208" s="3" t="s">
        <v>44</v>
      </c>
      <c r="I208" s="3" t="str">
        <f t="shared" si="21"/>
        <v>Online</v>
      </c>
      <c r="J208" s="3" t="s">
        <v>58</v>
      </c>
      <c r="K208" s="3" t="s">
        <v>52</v>
      </c>
      <c r="L208" s="3" t="str">
        <f t="shared" si="22"/>
        <v>Keyboard Cover</v>
      </c>
      <c r="M208" s="3" t="s">
        <v>59</v>
      </c>
      <c r="N208" s="5">
        <v>2</v>
      </c>
      <c r="O208" s="6">
        <v>10.039999999999999</v>
      </c>
      <c r="P208" s="7">
        <v>0</v>
      </c>
      <c r="Q208" s="6">
        <v>20.079999999999998</v>
      </c>
      <c r="R208" s="6">
        <v>8.23</v>
      </c>
      <c r="S208" s="6">
        <v>11.85</v>
      </c>
      <c r="T208" s="3" t="s">
        <v>65</v>
      </c>
    </row>
    <row r="209" spans="1:20">
      <c r="A209" s="3" t="s">
        <v>297</v>
      </c>
      <c r="B209" s="3" t="str">
        <f t="shared" si="18"/>
        <v>Apr</v>
      </c>
      <c r="C209" s="3" t="str">
        <f t="shared" si="19"/>
        <v>2026</v>
      </c>
      <c r="D209" s="3" t="str">
        <f t="shared" si="20"/>
        <v>Sunday</v>
      </c>
      <c r="E209" s="25">
        <v>46124</v>
      </c>
      <c r="F209" s="4" t="str">
        <f>PROPER(G:G)</f>
        <v>South</v>
      </c>
      <c r="G209" s="3" t="s">
        <v>56</v>
      </c>
      <c r="H209" s="3" t="s">
        <v>57</v>
      </c>
      <c r="I209" s="3" t="str">
        <f t="shared" si="21"/>
        <v>Online</v>
      </c>
      <c r="J209" s="3" t="s">
        <v>58</v>
      </c>
      <c r="K209" s="3" t="s">
        <v>52</v>
      </c>
      <c r="L209" s="3" t="str">
        <f t="shared" si="22"/>
        <v>Laptop Sleeve</v>
      </c>
      <c r="M209" s="3" t="s">
        <v>91</v>
      </c>
      <c r="N209" s="5">
        <v>5</v>
      </c>
      <c r="O209" s="6">
        <v>21.64</v>
      </c>
      <c r="P209" s="7">
        <v>0</v>
      </c>
      <c r="Q209" s="6">
        <v>108.2</v>
      </c>
      <c r="R209" s="6">
        <v>53.02</v>
      </c>
      <c r="S209" s="6">
        <v>55.18</v>
      </c>
      <c r="T209" s="3" t="s">
        <v>63</v>
      </c>
    </row>
    <row r="210" spans="1:20">
      <c r="A210" s="3" t="s">
        <v>298</v>
      </c>
      <c r="B210" s="3" t="str">
        <f t="shared" si="18"/>
        <v>Jun</v>
      </c>
      <c r="C210" s="3" t="str">
        <f t="shared" si="19"/>
        <v>2025</v>
      </c>
      <c r="D210" s="3" t="str">
        <f t="shared" si="20"/>
        <v>Tuesday</v>
      </c>
      <c r="E210" s="25">
        <v>45811</v>
      </c>
      <c r="F210" s="4" t="str">
        <f>PROPER(G:G)</f>
        <v>Central</v>
      </c>
      <c r="G210" s="3" t="s">
        <v>74</v>
      </c>
      <c r="H210" s="3" t="s">
        <v>44</v>
      </c>
      <c r="I210" s="3" t="str">
        <f t="shared" si="21"/>
        <v>Retail</v>
      </c>
      <c r="J210" s="3" t="s">
        <v>90</v>
      </c>
      <c r="K210" s="3" t="s">
        <v>52</v>
      </c>
      <c r="L210" s="3" t="str">
        <f t="shared" si="22"/>
        <v>Keyboard Cover</v>
      </c>
      <c r="M210" s="3" t="s">
        <v>59</v>
      </c>
      <c r="N210" s="5">
        <v>6</v>
      </c>
      <c r="O210" s="6">
        <v>13.97</v>
      </c>
      <c r="P210" s="7">
        <v>0.15</v>
      </c>
      <c r="Q210" s="6">
        <v>71.25</v>
      </c>
      <c r="R210" s="6">
        <v>34.369999999999997</v>
      </c>
      <c r="S210" s="6">
        <v>36.880000000000003</v>
      </c>
      <c r="T210" s="3" t="s">
        <v>63</v>
      </c>
    </row>
    <row r="211" spans="1:20">
      <c r="A211" s="3" t="s">
        <v>299</v>
      </c>
      <c r="B211" s="3" t="str">
        <f t="shared" si="18"/>
        <v>Mar</v>
      </c>
      <c r="C211" s="3" t="str">
        <f t="shared" si="19"/>
        <v>2026</v>
      </c>
      <c r="D211" s="3" t="str">
        <f t="shared" si="20"/>
        <v>Monday</v>
      </c>
      <c r="E211" s="25">
        <v>46090</v>
      </c>
      <c r="F211" s="4" t="str">
        <f>PROPER(G:G)</f>
        <v>East</v>
      </c>
      <c r="G211" s="3" t="s">
        <v>61</v>
      </c>
      <c r="H211" s="3" t="s">
        <v>62</v>
      </c>
      <c r="I211" s="3" t="str">
        <f t="shared" si="21"/>
        <v>Retail</v>
      </c>
      <c r="J211" s="3" t="s">
        <v>90</v>
      </c>
      <c r="K211" s="3" t="s">
        <v>52</v>
      </c>
      <c r="L211" s="3" t="str">
        <f t="shared" si="22"/>
        <v>Laptop Sleeve</v>
      </c>
      <c r="M211" s="3" t="s">
        <v>91</v>
      </c>
      <c r="N211" s="5">
        <v>1</v>
      </c>
      <c r="O211" s="6">
        <v>21.13</v>
      </c>
      <c r="P211" s="7">
        <v>0.1</v>
      </c>
      <c r="Q211" s="6">
        <v>19.02</v>
      </c>
      <c r="R211" s="6">
        <v>10.35</v>
      </c>
      <c r="S211" s="6">
        <v>8.67</v>
      </c>
      <c r="T211" s="3" t="s">
        <v>65</v>
      </c>
    </row>
    <row r="212" spans="1:20">
      <c r="A212" s="3" t="s">
        <v>300</v>
      </c>
      <c r="B212" s="3" t="str">
        <f t="shared" si="18"/>
        <v>Apr</v>
      </c>
      <c r="C212" s="3" t="str">
        <f t="shared" si="19"/>
        <v>2025</v>
      </c>
      <c r="D212" s="3" t="str">
        <f t="shared" si="20"/>
        <v>Saturday</v>
      </c>
      <c r="E212" s="25">
        <v>45766</v>
      </c>
      <c r="F212" s="4" t="str">
        <f>PROPER(G:G)</f>
        <v>South</v>
      </c>
      <c r="G212" s="3" t="s">
        <v>56</v>
      </c>
      <c r="H212" s="3" t="s">
        <v>57</v>
      </c>
      <c r="I212" s="3" t="str">
        <f t="shared" si="21"/>
        <v>Online</v>
      </c>
      <c r="J212" s="3" t="s">
        <v>58</v>
      </c>
      <c r="K212" s="3" t="s">
        <v>84</v>
      </c>
      <c r="L212" s="3" t="str">
        <f t="shared" si="22"/>
        <v>Desk Organizer</v>
      </c>
      <c r="M212" s="3" t="s">
        <v>134</v>
      </c>
      <c r="N212" s="5">
        <v>9</v>
      </c>
      <c r="O212" s="6">
        <v>13.59</v>
      </c>
      <c r="P212" s="7">
        <v>0.05</v>
      </c>
      <c r="Q212" s="6">
        <v>116.19</v>
      </c>
      <c r="R212" s="6">
        <v>56.26</v>
      </c>
      <c r="S212" s="6">
        <v>59.93</v>
      </c>
      <c r="T212" s="3" t="s">
        <v>88</v>
      </c>
    </row>
    <row r="213" spans="1:20">
      <c r="A213" s="3" t="s">
        <v>301</v>
      </c>
      <c r="B213" s="3" t="str">
        <f t="shared" si="18"/>
        <v>Oct</v>
      </c>
      <c r="C213" s="3" t="str">
        <f t="shared" si="19"/>
        <v>2026</v>
      </c>
      <c r="D213" s="3" t="str">
        <f t="shared" si="20"/>
        <v>Saturday</v>
      </c>
      <c r="E213" s="25">
        <v>46312</v>
      </c>
      <c r="F213" s="4" t="str">
        <f>PROPER(G:G)</f>
        <v>South</v>
      </c>
      <c r="G213" s="3" t="s">
        <v>56</v>
      </c>
      <c r="H213" s="3" t="s">
        <v>57</v>
      </c>
      <c r="I213" s="3" t="str">
        <f t="shared" si="21"/>
        <v>Online</v>
      </c>
      <c r="J213" s="3" t="s">
        <v>58</v>
      </c>
      <c r="K213" s="3" t="s">
        <v>84</v>
      </c>
      <c r="L213" s="3" t="str">
        <f t="shared" si="22"/>
        <v>Notebook Set</v>
      </c>
      <c r="M213" s="3" t="s">
        <v>85</v>
      </c>
      <c r="N213" s="5">
        <v>9</v>
      </c>
      <c r="O213" s="6">
        <v>8.57</v>
      </c>
      <c r="P213" s="7">
        <v>0.05</v>
      </c>
      <c r="Q213" s="6">
        <v>73.27</v>
      </c>
      <c r="R213" s="6">
        <v>30.85</v>
      </c>
      <c r="S213" s="6">
        <v>42.42</v>
      </c>
      <c r="T213" s="3" t="s">
        <v>54</v>
      </c>
    </row>
    <row r="214" spans="1:20">
      <c r="A214" s="3" t="s">
        <v>302</v>
      </c>
      <c r="B214" s="3" t="str">
        <f t="shared" si="18"/>
        <v>May</v>
      </c>
      <c r="C214" s="3" t="str">
        <f t="shared" si="19"/>
        <v>2025</v>
      </c>
      <c r="D214" s="3" t="str">
        <f t="shared" si="20"/>
        <v>Saturday</v>
      </c>
      <c r="E214" s="25">
        <v>45794</v>
      </c>
      <c r="F214" s="4" t="str">
        <f>PROPER(G:G)</f>
        <v>East</v>
      </c>
      <c r="G214" s="3" t="s">
        <v>61</v>
      </c>
      <c r="H214" s="3" t="s">
        <v>62</v>
      </c>
      <c r="I214" s="3" t="str">
        <f t="shared" si="21"/>
        <v>Wholesale</v>
      </c>
      <c r="J214" s="3" t="s">
        <v>45</v>
      </c>
      <c r="K214" s="3" t="s">
        <v>84</v>
      </c>
      <c r="L214" s="3" t="str">
        <f t="shared" si="22"/>
        <v>Desk Organizer</v>
      </c>
      <c r="M214" s="3" t="s">
        <v>134</v>
      </c>
      <c r="N214" s="5">
        <v>9</v>
      </c>
      <c r="O214" s="6">
        <v>14.74</v>
      </c>
      <c r="P214" s="7">
        <v>0.05</v>
      </c>
      <c r="Q214" s="6">
        <v>126.03</v>
      </c>
      <c r="R214" s="6">
        <v>61.02</v>
      </c>
      <c r="S214" s="6">
        <v>65.010000000000005</v>
      </c>
      <c r="T214" s="3" t="s">
        <v>88</v>
      </c>
    </row>
    <row r="215" spans="1:20">
      <c r="A215" s="3" t="s">
        <v>303</v>
      </c>
      <c r="B215" s="3" t="str">
        <f t="shared" si="18"/>
        <v>Nov</v>
      </c>
      <c r="C215" s="3" t="str">
        <f t="shared" si="19"/>
        <v>2026</v>
      </c>
      <c r="D215" s="3" t="str">
        <f t="shared" si="20"/>
        <v>Tuesday</v>
      </c>
      <c r="E215" s="25">
        <v>46329</v>
      </c>
      <c r="F215" s="4" t="str">
        <f>PROPER(G:G)</f>
        <v>South</v>
      </c>
      <c r="G215" s="3" t="s">
        <v>56</v>
      </c>
      <c r="H215" s="3" t="s">
        <v>57</v>
      </c>
      <c r="I215" s="3" t="str">
        <f t="shared" si="21"/>
        <v>Online</v>
      </c>
      <c r="J215" s="3" t="s">
        <v>58</v>
      </c>
      <c r="K215" s="3" t="s">
        <v>84</v>
      </c>
      <c r="L215" s="3" t="str">
        <f t="shared" si="22"/>
        <v>Notebook Set</v>
      </c>
      <c r="M215" s="3" t="s">
        <v>85</v>
      </c>
      <c r="N215" s="5">
        <v>8</v>
      </c>
      <c r="O215" s="6">
        <v>9.73</v>
      </c>
      <c r="P215" s="7">
        <v>0.15</v>
      </c>
      <c r="Q215" s="6">
        <v>66.16</v>
      </c>
      <c r="R215" s="6">
        <v>31.14</v>
      </c>
      <c r="S215" s="6">
        <v>35.020000000000003</v>
      </c>
      <c r="T215" s="3" t="s">
        <v>65</v>
      </c>
    </row>
    <row r="216" spans="1:20">
      <c r="A216" s="3" t="s">
        <v>304</v>
      </c>
      <c r="B216" s="3" t="str">
        <f t="shared" si="18"/>
        <v>Dec</v>
      </c>
      <c r="C216" s="3" t="str">
        <f t="shared" si="19"/>
        <v>2025</v>
      </c>
      <c r="D216" s="3" t="str">
        <f t="shared" si="20"/>
        <v>Sunday</v>
      </c>
      <c r="E216" s="25">
        <v>45998</v>
      </c>
      <c r="F216" s="4" t="str">
        <f>PROPER(G:G)</f>
        <v>West</v>
      </c>
      <c r="G216" s="3" t="s">
        <v>67</v>
      </c>
      <c r="H216" s="3" t="s">
        <v>68</v>
      </c>
      <c r="I216" s="3" t="str">
        <f t="shared" si="21"/>
        <v>Wholesale</v>
      </c>
      <c r="J216" s="3" t="s">
        <v>45</v>
      </c>
      <c r="K216" s="3" t="s">
        <v>46</v>
      </c>
      <c r="L216" s="3" t="str">
        <f t="shared" si="22"/>
        <v>Usb-C Hub</v>
      </c>
      <c r="M216" s="3" t="s">
        <v>93</v>
      </c>
      <c r="N216" s="5">
        <v>1</v>
      </c>
      <c r="O216" s="6">
        <v>26.81</v>
      </c>
      <c r="P216" s="7">
        <v>0.15</v>
      </c>
      <c r="Q216" s="6">
        <v>22.79</v>
      </c>
      <c r="R216" s="6">
        <v>14.75</v>
      </c>
      <c r="S216" s="6">
        <v>8.0399999999999991</v>
      </c>
      <c r="T216" s="3" t="s">
        <v>54</v>
      </c>
    </row>
    <row r="217" spans="1:20">
      <c r="A217" s="3" t="s">
        <v>305</v>
      </c>
      <c r="B217" s="3" t="str">
        <f t="shared" si="18"/>
        <v>May</v>
      </c>
      <c r="C217" s="3" t="str">
        <f t="shared" si="19"/>
        <v>2026</v>
      </c>
      <c r="D217" s="3" t="str">
        <f t="shared" si="20"/>
        <v>Saturday</v>
      </c>
      <c r="E217" s="25">
        <v>46151</v>
      </c>
      <c r="F217" s="4" t="str">
        <f>PROPER(G:G)</f>
        <v>South</v>
      </c>
      <c r="G217" s="3" t="s">
        <v>56</v>
      </c>
      <c r="H217" s="3" t="s">
        <v>57</v>
      </c>
      <c r="I217" s="3" t="str">
        <f t="shared" si="21"/>
        <v>Wholesale</v>
      </c>
      <c r="J217" s="3" t="s">
        <v>45</v>
      </c>
      <c r="K217" s="3" t="s">
        <v>84</v>
      </c>
      <c r="L217" s="3" t="str">
        <f t="shared" si="22"/>
        <v>Notebook Set</v>
      </c>
      <c r="M217" s="3" t="s">
        <v>85</v>
      </c>
      <c r="N217" s="5">
        <v>11</v>
      </c>
      <c r="O217" s="6">
        <v>8.2799999999999994</v>
      </c>
      <c r="P217" s="7">
        <v>0.15</v>
      </c>
      <c r="Q217" s="6">
        <v>77.42</v>
      </c>
      <c r="R217" s="6">
        <v>36.43</v>
      </c>
      <c r="S217" s="6">
        <v>40.99</v>
      </c>
      <c r="T217" s="3" t="s">
        <v>54</v>
      </c>
    </row>
    <row r="218" spans="1:20">
      <c r="A218" s="3" t="s">
        <v>306</v>
      </c>
      <c r="B218" s="3" t="str">
        <f t="shared" si="18"/>
        <v>Sep</v>
      </c>
      <c r="C218" s="3" t="str">
        <f t="shared" si="19"/>
        <v>2025</v>
      </c>
      <c r="D218" s="3" t="str">
        <f t="shared" si="20"/>
        <v>Friday</v>
      </c>
      <c r="E218" s="25">
        <v>45905</v>
      </c>
      <c r="F218" s="4" t="str">
        <f>PROPER(G:G)</f>
        <v>Central</v>
      </c>
      <c r="G218" s="3" t="s">
        <v>74</v>
      </c>
      <c r="H218" s="3" t="s">
        <v>44</v>
      </c>
      <c r="I218" s="3" t="str">
        <f t="shared" si="21"/>
        <v>Corporate</v>
      </c>
      <c r="J218" s="3" t="s">
        <v>72</v>
      </c>
      <c r="K218" s="3" t="s">
        <v>84</v>
      </c>
      <c r="L218" s="3" t="str">
        <f t="shared" si="22"/>
        <v>Desk Organizer</v>
      </c>
      <c r="M218" s="3" t="s">
        <v>134</v>
      </c>
      <c r="N218" s="5">
        <v>5</v>
      </c>
      <c r="O218" s="6">
        <v>16.36</v>
      </c>
      <c r="P218" s="7">
        <v>0</v>
      </c>
      <c r="Q218" s="6">
        <v>81.8</v>
      </c>
      <c r="R218" s="6">
        <v>37.630000000000003</v>
      </c>
      <c r="S218" s="6">
        <v>44.17</v>
      </c>
      <c r="T218" s="3" t="s">
        <v>63</v>
      </c>
    </row>
    <row r="219" spans="1:20">
      <c r="A219" s="3" t="s">
        <v>307</v>
      </c>
      <c r="B219" s="3" t="str">
        <f t="shared" si="18"/>
        <v>Feb</v>
      </c>
      <c r="C219" s="3" t="str">
        <f t="shared" si="19"/>
        <v>2026</v>
      </c>
      <c r="D219" s="3" t="str">
        <f t="shared" si="20"/>
        <v>Tuesday</v>
      </c>
      <c r="E219" s="25">
        <v>46070</v>
      </c>
      <c r="F219" s="4" t="str">
        <f>PROPER(G:G)</f>
        <v>North</v>
      </c>
      <c r="G219" s="3" t="s">
        <v>50</v>
      </c>
      <c r="H219" s="3" t="s">
        <v>51</v>
      </c>
      <c r="I219" s="3" t="str">
        <f t="shared" si="21"/>
        <v>Corporate</v>
      </c>
      <c r="J219" s="3" t="s">
        <v>72</v>
      </c>
      <c r="K219" s="3" t="s">
        <v>52</v>
      </c>
      <c r="L219" s="3" t="str">
        <f t="shared" si="22"/>
        <v>Laptop Sleeve</v>
      </c>
      <c r="M219" s="3" t="s">
        <v>91</v>
      </c>
      <c r="N219" s="5">
        <v>2</v>
      </c>
      <c r="O219" s="6">
        <v>18.87</v>
      </c>
      <c r="P219" s="7">
        <v>0</v>
      </c>
      <c r="Q219" s="6">
        <v>37.74</v>
      </c>
      <c r="R219" s="6">
        <v>18.489999999999998</v>
      </c>
      <c r="S219" s="6">
        <v>19.25</v>
      </c>
      <c r="T219" s="3" t="s">
        <v>65</v>
      </c>
    </row>
    <row r="220" spans="1:20">
      <c r="A220" s="3" t="s">
        <v>308</v>
      </c>
      <c r="B220" s="3" t="str">
        <f t="shared" si="18"/>
        <v>Aug</v>
      </c>
      <c r="C220" s="3" t="str">
        <f t="shared" si="19"/>
        <v>2025</v>
      </c>
      <c r="D220" s="3" t="str">
        <f t="shared" si="20"/>
        <v>Sunday</v>
      </c>
      <c r="E220" s="25">
        <v>45893</v>
      </c>
      <c r="F220" s="4" t="str">
        <f>PROPER(G:G)</f>
        <v>Central</v>
      </c>
      <c r="G220" s="3" t="s">
        <v>74</v>
      </c>
      <c r="H220" s="3" t="s">
        <v>44</v>
      </c>
      <c r="I220" s="3" t="str">
        <f t="shared" si="21"/>
        <v>Retail</v>
      </c>
      <c r="J220" s="3" t="s">
        <v>90</v>
      </c>
      <c r="K220" s="3" t="s">
        <v>46</v>
      </c>
      <c r="L220" s="3" t="str">
        <f t="shared" si="22"/>
        <v>Wireless Mouse</v>
      </c>
      <c r="M220" s="3" t="s">
        <v>75</v>
      </c>
      <c r="N220" s="5">
        <v>7</v>
      </c>
      <c r="O220" s="6">
        <v>16.3</v>
      </c>
      <c r="P220" s="7">
        <v>0.15</v>
      </c>
      <c r="Q220" s="6">
        <v>96.99</v>
      </c>
      <c r="R220" s="6">
        <v>54.77</v>
      </c>
      <c r="S220" s="6">
        <v>42.22</v>
      </c>
      <c r="T220" s="3" t="s">
        <v>77</v>
      </c>
    </row>
    <row r="221" spans="1:20">
      <c r="A221" s="3" t="s">
        <v>309</v>
      </c>
      <c r="B221" s="3" t="str">
        <f t="shared" si="18"/>
        <v>Dec</v>
      </c>
      <c r="C221" s="3" t="str">
        <f t="shared" si="19"/>
        <v>2026</v>
      </c>
      <c r="D221" s="3" t="str">
        <f t="shared" si="20"/>
        <v>Tuesday</v>
      </c>
      <c r="E221" s="25">
        <v>46371</v>
      </c>
      <c r="F221" s="4" t="str">
        <f>PROPER(G:G)</f>
        <v>West</v>
      </c>
      <c r="G221" s="3" t="s">
        <v>67</v>
      </c>
      <c r="H221" s="3" t="s">
        <v>68</v>
      </c>
      <c r="I221" s="3" t="str">
        <f t="shared" si="21"/>
        <v>Retail</v>
      </c>
      <c r="J221" s="3" t="s">
        <v>90</v>
      </c>
      <c r="K221" s="3" t="s">
        <v>69</v>
      </c>
      <c r="L221" s="3" t="str">
        <f t="shared" si="22"/>
        <v>Bookshelf</v>
      </c>
      <c r="M221" s="3" t="s">
        <v>70</v>
      </c>
      <c r="N221" s="5">
        <v>11</v>
      </c>
      <c r="O221" s="6">
        <v>93.48</v>
      </c>
      <c r="P221" s="7">
        <v>0.05</v>
      </c>
      <c r="Q221" s="6">
        <v>976.87</v>
      </c>
      <c r="R221" s="6">
        <v>534.71</v>
      </c>
      <c r="S221" s="6">
        <v>442.16</v>
      </c>
      <c r="T221" s="3" t="s">
        <v>63</v>
      </c>
    </row>
    <row r="222" spans="1:20">
      <c r="A222" s="3" t="s">
        <v>310</v>
      </c>
      <c r="B222" s="3" t="str">
        <f t="shared" si="18"/>
        <v>Nov</v>
      </c>
      <c r="C222" s="3" t="str">
        <f t="shared" si="19"/>
        <v>2025</v>
      </c>
      <c r="D222" s="3" t="str">
        <f t="shared" si="20"/>
        <v>Thursday</v>
      </c>
      <c r="E222" s="25">
        <v>45988</v>
      </c>
      <c r="F222" s="4" t="str">
        <f>PROPER(G:G)</f>
        <v>South</v>
      </c>
      <c r="G222" s="3" t="s">
        <v>56</v>
      </c>
      <c r="H222" s="3" t="s">
        <v>57</v>
      </c>
      <c r="I222" s="3" t="str">
        <f t="shared" si="21"/>
        <v>Wholesale</v>
      </c>
      <c r="J222" s="3" t="s">
        <v>45</v>
      </c>
      <c r="K222" s="3" t="s">
        <v>84</v>
      </c>
      <c r="L222" s="3" t="str">
        <f t="shared" si="22"/>
        <v>Notebook Set</v>
      </c>
      <c r="M222" s="3" t="s">
        <v>85</v>
      </c>
      <c r="N222" s="5">
        <v>8</v>
      </c>
      <c r="O222" s="6">
        <v>9.61</v>
      </c>
      <c r="P222" s="7">
        <v>0</v>
      </c>
      <c r="Q222" s="6">
        <v>76.88</v>
      </c>
      <c r="R222" s="6">
        <v>30.75</v>
      </c>
      <c r="S222" s="6">
        <v>46.13</v>
      </c>
      <c r="T222" s="3" t="s">
        <v>77</v>
      </c>
    </row>
    <row r="223" spans="1:20">
      <c r="A223" s="3" t="s">
        <v>311</v>
      </c>
      <c r="B223" s="3" t="str">
        <f t="shared" si="18"/>
        <v>Jul</v>
      </c>
      <c r="C223" s="3" t="str">
        <f t="shared" si="19"/>
        <v>2026</v>
      </c>
      <c r="D223" s="3" t="str">
        <f t="shared" si="20"/>
        <v>Tuesday</v>
      </c>
      <c r="E223" s="25">
        <v>46217</v>
      </c>
      <c r="F223" s="4" t="str">
        <f>PROPER(G:G)</f>
        <v>South</v>
      </c>
      <c r="G223" s="3" t="s">
        <v>56</v>
      </c>
      <c r="H223" s="3" t="s">
        <v>57</v>
      </c>
      <c r="I223" s="3" t="str">
        <f t="shared" si="21"/>
        <v>Retail</v>
      </c>
      <c r="J223" s="3" t="s">
        <v>90</v>
      </c>
      <c r="K223" s="3" t="s">
        <v>52</v>
      </c>
      <c r="L223" s="3" t="str">
        <f t="shared" si="22"/>
        <v>Keyboard Cover</v>
      </c>
      <c r="M223" s="3" t="s">
        <v>59</v>
      </c>
      <c r="N223" s="5">
        <v>9</v>
      </c>
      <c r="O223" s="6">
        <v>13.47</v>
      </c>
      <c r="P223" s="7">
        <v>0</v>
      </c>
      <c r="Q223" s="6">
        <v>121.23</v>
      </c>
      <c r="R223" s="6">
        <v>49.7</v>
      </c>
      <c r="S223" s="6">
        <v>71.53</v>
      </c>
      <c r="T223" s="3" t="s">
        <v>88</v>
      </c>
    </row>
    <row r="224" spans="1:20">
      <c r="A224" s="3" t="s">
        <v>312</v>
      </c>
      <c r="B224" s="3" t="str">
        <f t="shared" si="18"/>
        <v>Dec</v>
      </c>
      <c r="C224" s="3" t="str">
        <f t="shared" si="19"/>
        <v>2025</v>
      </c>
      <c r="D224" s="3" t="str">
        <f t="shared" si="20"/>
        <v>Wednesday</v>
      </c>
      <c r="E224" s="25">
        <v>46015</v>
      </c>
      <c r="F224" s="4" t="str">
        <f>PROPER(G:G)</f>
        <v>North</v>
      </c>
      <c r="G224" s="3" t="s">
        <v>50</v>
      </c>
      <c r="H224" s="3" t="s">
        <v>51</v>
      </c>
      <c r="I224" s="3" t="str">
        <f t="shared" si="21"/>
        <v>Retail</v>
      </c>
      <c r="J224" s="3" t="s">
        <v>90</v>
      </c>
      <c r="K224" s="3" t="s">
        <v>69</v>
      </c>
      <c r="L224" s="3" t="str">
        <f t="shared" si="22"/>
        <v>Bookshelf</v>
      </c>
      <c r="M224" s="3" t="s">
        <v>70</v>
      </c>
      <c r="N224" s="5">
        <v>3</v>
      </c>
      <c r="O224" s="6">
        <v>95.78</v>
      </c>
      <c r="P224" s="7">
        <v>0</v>
      </c>
      <c r="Q224" s="6">
        <v>287.33999999999997</v>
      </c>
      <c r="R224" s="6">
        <v>149.41999999999999</v>
      </c>
      <c r="S224" s="6">
        <v>137.91999999999999</v>
      </c>
      <c r="T224" s="3" t="s">
        <v>88</v>
      </c>
    </row>
    <row r="225" spans="1:20">
      <c r="A225" s="3" t="s">
        <v>313</v>
      </c>
      <c r="B225" s="3" t="str">
        <f t="shared" si="18"/>
        <v>May</v>
      </c>
      <c r="C225" s="3" t="str">
        <f t="shared" si="19"/>
        <v>2026</v>
      </c>
      <c r="D225" s="3" t="str">
        <f t="shared" si="20"/>
        <v>Wednesday</v>
      </c>
      <c r="E225" s="25">
        <v>46148</v>
      </c>
      <c r="F225" s="4" t="str">
        <f>PROPER(G:G)</f>
        <v>West</v>
      </c>
      <c r="G225" s="3" t="s">
        <v>67</v>
      </c>
      <c r="H225" s="3" t="s">
        <v>68</v>
      </c>
      <c r="I225" s="3" t="str">
        <f t="shared" si="21"/>
        <v>Wholesale</v>
      </c>
      <c r="J225" s="3" t="s">
        <v>45</v>
      </c>
      <c r="K225" s="3" t="s">
        <v>52</v>
      </c>
      <c r="L225" s="3" t="str">
        <f t="shared" si="22"/>
        <v>Water Bottle</v>
      </c>
      <c r="M225" s="3" t="s">
        <v>53</v>
      </c>
      <c r="N225" s="5">
        <v>10</v>
      </c>
      <c r="O225" s="6">
        <v>9.48</v>
      </c>
      <c r="P225" s="7">
        <v>0.15</v>
      </c>
      <c r="Q225" s="6">
        <v>80.58</v>
      </c>
      <c r="R225" s="6">
        <v>40.76</v>
      </c>
      <c r="S225" s="6">
        <v>39.82</v>
      </c>
      <c r="T225" s="3" t="s">
        <v>63</v>
      </c>
    </row>
    <row r="226" spans="1:20">
      <c r="A226" s="3" t="s">
        <v>314</v>
      </c>
      <c r="B226" s="3" t="str">
        <f t="shared" si="18"/>
        <v>May</v>
      </c>
      <c r="C226" s="3" t="str">
        <f t="shared" si="19"/>
        <v>2025</v>
      </c>
      <c r="D226" s="3" t="str">
        <f t="shared" si="20"/>
        <v>Saturday</v>
      </c>
      <c r="E226" s="25">
        <v>45780</v>
      </c>
      <c r="F226" s="4" t="str">
        <f>PROPER(G:G)</f>
        <v>South</v>
      </c>
      <c r="G226" s="3" t="s">
        <v>56</v>
      </c>
      <c r="H226" s="3" t="s">
        <v>57</v>
      </c>
      <c r="I226" s="3" t="str">
        <f t="shared" si="21"/>
        <v>Online</v>
      </c>
      <c r="J226" s="3" t="s">
        <v>58</v>
      </c>
      <c r="K226" s="3" t="s">
        <v>69</v>
      </c>
      <c r="L226" s="3" t="str">
        <f t="shared" si="22"/>
        <v>Standing Desk</v>
      </c>
      <c r="M226" s="3" t="s">
        <v>81</v>
      </c>
      <c r="N226" s="5">
        <v>4</v>
      </c>
      <c r="O226" s="6">
        <v>258.83999999999997</v>
      </c>
      <c r="P226" s="7">
        <v>0</v>
      </c>
      <c r="Q226" s="6">
        <v>1035.3599999999999</v>
      </c>
      <c r="R226" s="6">
        <v>621.22</v>
      </c>
      <c r="S226" s="6">
        <v>414.14</v>
      </c>
      <c r="T226" s="3" t="s">
        <v>88</v>
      </c>
    </row>
    <row r="227" spans="1:20">
      <c r="A227" s="3" t="s">
        <v>315</v>
      </c>
      <c r="B227" s="3" t="str">
        <f t="shared" si="18"/>
        <v>Feb</v>
      </c>
      <c r="C227" s="3" t="str">
        <f t="shared" si="19"/>
        <v>2026</v>
      </c>
      <c r="D227" s="3" t="str">
        <f t="shared" si="20"/>
        <v>Friday</v>
      </c>
      <c r="E227" s="25">
        <v>46059</v>
      </c>
      <c r="F227" s="4" t="str">
        <f>PROPER(G:G)</f>
        <v>South</v>
      </c>
      <c r="G227" s="3" t="s">
        <v>56</v>
      </c>
      <c r="H227" s="3" t="s">
        <v>57</v>
      </c>
      <c r="I227" s="3" t="str">
        <f t="shared" si="21"/>
        <v>Wholesale</v>
      </c>
      <c r="J227" s="3" t="s">
        <v>45</v>
      </c>
      <c r="K227" s="3" t="s">
        <v>46</v>
      </c>
      <c r="L227" s="3" t="str">
        <f t="shared" si="22"/>
        <v>Laptop Stand</v>
      </c>
      <c r="M227" s="3" t="s">
        <v>116</v>
      </c>
      <c r="N227" s="5">
        <v>1</v>
      </c>
      <c r="O227" s="6">
        <v>21.35</v>
      </c>
      <c r="P227" s="7">
        <v>0.15</v>
      </c>
      <c r="Q227" s="6">
        <v>18.149999999999999</v>
      </c>
      <c r="R227" s="6">
        <v>10.68</v>
      </c>
      <c r="S227" s="6">
        <v>7.47</v>
      </c>
      <c r="T227" s="3" t="s">
        <v>77</v>
      </c>
    </row>
    <row r="228" spans="1:20">
      <c r="A228" s="3" t="s">
        <v>316</v>
      </c>
      <c r="B228" s="3" t="str">
        <f t="shared" si="18"/>
        <v>Jul</v>
      </c>
      <c r="C228" s="3" t="str">
        <f t="shared" si="19"/>
        <v>2025</v>
      </c>
      <c r="D228" s="3" t="str">
        <f t="shared" si="20"/>
        <v>Monday</v>
      </c>
      <c r="E228" s="25">
        <v>45866</v>
      </c>
      <c r="F228" s="4" t="str">
        <f>PROPER(G:G)</f>
        <v>West</v>
      </c>
      <c r="G228" s="3" t="s">
        <v>67</v>
      </c>
      <c r="H228" s="3" t="s">
        <v>68</v>
      </c>
      <c r="I228" s="3" t="str">
        <f t="shared" si="21"/>
        <v>Online</v>
      </c>
      <c r="J228" s="3" t="s">
        <v>58</v>
      </c>
      <c r="K228" s="3" t="s">
        <v>69</v>
      </c>
      <c r="L228" s="3" t="str">
        <f t="shared" si="22"/>
        <v>Ergonomic Chair</v>
      </c>
      <c r="M228" s="3" t="s">
        <v>79</v>
      </c>
      <c r="N228" s="5">
        <v>2</v>
      </c>
      <c r="O228" s="6">
        <v>138.57</v>
      </c>
      <c r="P228" s="7">
        <v>0.15</v>
      </c>
      <c r="Q228" s="6">
        <v>235.57</v>
      </c>
      <c r="R228" s="6">
        <v>160.74</v>
      </c>
      <c r="S228" s="6">
        <v>74.83</v>
      </c>
      <c r="T228" s="3" t="s">
        <v>65</v>
      </c>
    </row>
    <row r="229" spans="1:20">
      <c r="A229" s="3" t="s">
        <v>317</v>
      </c>
      <c r="B229" s="3" t="str">
        <f t="shared" si="18"/>
        <v>Sep</v>
      </c>
      <c r="C229" s="3" t="str">
        <f t="shared" si="19"/>
        <v>2026</v>
      </c>
      <c r="D229" s="3" t="str">
        <f t="shared" si="20"/>
        <v>Monday</v>
      </c>
      <c r="E229" s="25">
        <v>46279</v>
      </c>
      <c r="F229" s="4" t="str">
        <f>PROPER(G:G)</f>
        <v>Central</v>
      </c>
      <c r="G229" s="3" t="s">
        <v>74</v>
      </c>
      <c r="H229" s="3" t="s">
        <v>44</v>
      </c>
      <c r="I229" s="3" t="str">
        <f t="shared" si="21"/>
        <v>Corporate</v>
      </c>
      <c r="J229" s="3" t="s">
        <v>72</v>
      </c>
      <c r="K229" s="3" t="s">
        <v>46</v>
      </c>
      <c r="L229" s="3" t="str">
        <f t="shared" si="22"/>
        <v>Usb-C Hub</v>
      </c>
      <c r="M229" s="3" t="s">
        <v>93</v>
      </c>
      <c r="N229" s="5">
        <v>3</v>
      </c>
      <c r="O229" s="6">
        <v>24.27</v>
      </c>
      <c r="P229" s="7">
        <v>0.05</v>
      </c>
      <c r="Q229" s="6">
        <v>69.17</v>
      </c>
      <c r="R229" s="6">
        <v>40.049999999999997</v>
      </c>
      <c r="S229" s="6">
        <v>29.12</v>
      </c>
      <c r="T229" s="3" t="s">
        <v>77</v>
      </c>
    </row>
    <row r="230" spans="1:20">
      <c r="A230" s="3" t="s">
        <v>318</v>
      </c>
      <c r="B230" s="3" t="str">
        <f t="shared" si="18"/>
        <v>Jun</v>
      </c>
      <c r="C230" s="3" t="str">
        <f t="shared" si="19"/>
        <v>2025</v>
      </c>
      <c r="D230" s="3" t="str">
        <f t="shared" si="20"/>
        <v>Saturday</v>
      </c>
      <c r="E230" s="25">
        <v>45822</v>
      </c>
      <c r="F230" s="4" t="str">
        <f>PROPER(G:G)</f>
        <v>West</v>
      </c>
      <c r="G230" s="3" t="s">
        <v>67</v>
      </c>
      <c r="H230" s="3" t="s">
        <v>68</v>
      </c>
      <c r="I230" s="3" t="str">
        <f t="shared" si="21"/>
        <v>Wholesale</v>
      </c>
      <c r="J230" s="3" t="s">
        <v>45</v>
      </c>
      <c r="K230" s="3" t="s">
        <v>69</v>
      </c>
      <c r="L230" s="3" t="str">
        <f t="shared" si="22"/>
        <v>Bookshelf</v>
      </c>
      <c r="M230" s="3" t="s">
        <v>70</v>
      </c>
      <c r="N230" s="5">
        <v>2</v>
      </c>
      <c r="O230" s="6">
        <v>95.88</v>
      </c>
      <c r="P230" s="7">
        <v>0</v>
      </c>
      <c r="Q230" s="6">
        <v>191.76</v>
      </c>
      <c r="R230" s="6">
        <v>99.72</v>
      </c>
      <c r="S230" s="6">
        <v>92.04</v>
      </c>
      <c r="T230" s="3" t="s">
        <v>63</v>
      </c>
    </row>
    <row r="231" spans="1:20">
      <c r="A231" s="3" t="s">
        <v>319</v>
      </c>
      <c r="B231" s="3" t="str">
        <f t="shared" si="18"/>
        <v>Nov</v>
      </c>
      <c r="C231" s="3" t="str">
        <f t="shared" si="19"/>
        <v>2026</v>
      </c>
      <c r="D231" s="3" t="str">
        <f t="shared" si="20"/>
        <v>Monday</v>
      </c>
      <c r="E231" s="25">
        <v>46328</v>
      </c>
      <c r="F231" s="4" t="str">
        <f>PROPER(G:G)</f>
        <v>West</v>
      </c>
      <c r="G231" s="3" t="s">
        <v>67</v>
      </c>
      <c r="H231" s="3" t="s">
        <v>68</v>
      </c>
      <c r="I231" s="3" t="str">
        <f t="shared" si="21"/>
        <v>Wholesale</v>
      </c>
      <c r="J231" s="3" t="s">
        <v>45</v>
      </c>
      <c r="K231" s="3" t="s">
        <v>84</v>
      </c>
      <c r="L231" s="3" t="str">
        <f t="shared" si="22"/>
        <v>Notebook Set</v>
      </c>
      <c r="M231" s="3" t="s">
        <v>85</v>
      </c>
      <c r="N231" s="5">
        <v>2</v>
      </c>
      <c r="O231" s="6">
        <v>8.11</v>
      </c>
      <c r="P231" s="7">
        <v>0.1</v>
      </c>
      <c r="Q231" s="6">
        <v>14.6</v>
      </c>
      <c r="R231" s="6">
        <v>6.49</v>
      </c>
      <c r="S231" s="6">
        <v>8.11</v>
      </c>
      <c r="T231" s="3" t="s">
        <v>48</v>
      </c>
    </row>
    <row r="232" spans="1:20">
      <c r="A232" s="3" t="s">
        <v>320</v>
      </c>
      <c r="B232" s="3" t="str">
        <f t="shared" si="18"/>
        <v>Nov</v>
      </c>
      <c r="C232" s="3" t="str">
        <f t="shared" si="19"/>
        <v>2025</v>
      </c>
      <c r="D232" s="3" t="str">
        <f t="shared" si="20"/>
        <v>Monday</v>
      </c>
      <c r="E232" s="25">
        <v>45964</v>
      </c>
      <c r="F232" s="4" t="str">
        <f>PROPER(G:G)</f>
        <v>North</v>
      </c>
      <c r="G232" s="3" t="s">
        <v>50</v>
      </c>
      <c r="H232" s="3" t="s">
        <v>51</v>
      </c>
      <c r="I232" s="3" t="str">
        <f t="shared" si="21"/>
        <v>Retail</v>
      </c>
      <c r="J232" s="3" t="s">
        <v>90</v>
      </c>
      <c r="K232" s="3" t="s">
        <v>52</v>
      </c>
      <c r="L232" s="3" t="str">
        <f t="shared" si="22"/>
        <v>Keyboard Cover</v>
      </c>
      <c r="M232" s="3" t="s">
        <v>59</v>
      </c>
      <c r="N232" s="5">
        <v>8</v>
      </c>
      <c r="O232" s="6">
        <v>11.81</v>
      </c>
      <c r="P232" s="7">
        <v>0</v>
      </c>
      <c r="Q232" s="6">
        <v>94.48</v>
      </c>
      <c r="R232" s="6">
        <v>38.74</v>
      </c>
      <c r="S232" s="6">
        <v>55.74</v>
      </c>
      <c r="T232" s="3" t="s">
        <v>48</v>
      </c>
    </row>
    <row r="233" spans="1:20">
      <c r="A233" s="3" t="s">
        <v>321</v>
      </c>
      <c r="B233" s="3" t="str">
        <f t="shared" si="18"/>
        <v>Oct</v>
      </c>
      <c r="C233" s="3" t="str">
        <f t="shared" si="19"/>
        <v>2026</v>
      </c>
      <c r="D233" s="3" t="str">
        <f t="shared" si="20"/>
        <v>Thursday</v>
      </c>
      <c r="E233" s="25">
        <v>46296</v>
      </c>
      <c r="F233" s="4" t="str">
        <f>PROPER(G:G)</f>
        <v>South</v>
      </c>
      <c r="G233" s="3" t="s">
        <v>56</v>
      </c>
      <c r="H233" s="3" t="s">
        <v>57</v>
      </c>
      <c r="I233" s="3" t="str">
        <f t="shared" si="21"/>
        <v>Online</v>
      </c>
      <c r="J233" s="3" t="s">
        <v>58</v>
      </c>
      <c r="K233" s="3" t="s">
        <v>69</v>
      </c>
      <c r="L233" s="3" t="str">
        <f t="shared" si="22"/>
        <v>Standing Desk</v>
      </c>
      <c r="M233" s="3" t="s">
        <v>81</v>
      </c>
      <c r="N233" s="5">
        <v>9</v>
      </c>
      <c r="O233" s="6">
        <v>258.68</v>
      </c>
      <c r="P233" s="7">
        <v>0.05</v>
      </c>
      <c r="Q233" s="6">
        <v>2211.71</v>
      </c>
      <c r="R233" s="6">
        <v>1396.87</v>
      </c>
      <c r="S233" s="6">
        <v>814.84</v>
      </c>
      <c r="T233" s="3" t="s">
        <v>65</v>
      </c>
    </row>
    <row r="234" spans="1:20">
      <c r="A234" s="3" t="s">
        <v>322</v>
      </c>
      <c r="B234" s="3" t="str">
        <f t="shared" si="18"/>
        <v>Sep</v>
      </c>
      <c r="C234" s="3" t="str">
        <f t="shared" si="19"/>
        <v>2025</v>
      </c>
      <c r="D234" s="3" t="str">
        <f t="shared" si="20"/>
        <v>Thursday</v>
      </c>
      <c r="E234" s="25">
        <v>45925</v>
      </c>
      <c r="F234" s="4" t="str">
        <f>PROPER(G:G)</f>
        <v>South</v>
      </c>
      <c r="G234" s="3" t="s">
        <v>56</v>
      </c>
      <c r="H234" s="3" t="s">
        <v>57</v>
      </c>
      <c r="I234" s="3" t="str">
        <f t="shared" si="21"/>
        <v>Wholesale</v>
      </c>
      <c r="J234" s="3" t="s">
        <v>45</v>
      </c>
      <c r="K234" s="3" t="s">
        <v>84</v>
      </c>
      <c r="L234" s="3" t="str">
        <f t="shared" si="22"/>
        <v>Desk Organizer</v>
      </c>
      <c r="M234" s="3" t="s">
        <v>134</v>
      </c>
      <c r="N234" s="5">
        <v>5</v>
      </c>
      <c r="O234" s="6">
        <v>13.1</v>
      </c>
      <c r="P234" s="7">
        <v>0.1</v>
      </c>
      <c r="Q234" s="6">
        <v>58.95</v>
      </c>
      <c r="R234" s="6">
        <v>30.13</v>
      </c>
      <c r="S234" s="6">
        <v>28.82</v>
      </c>
      <c r="T234" s="3" t="s">
        <v>63</v>
      </c>
    </row>
    <row r="235" spans="1:20">
      <c r="A235" s="3" t="s">
        <v>323</v>
      </c>
      <c r="B235" s="3" t="str">
        <f t="shared" si="18"/>
        <v>Nov</v>
      </c>
      <c r="C235" s="3" t="str">
        <f t="shared" si="19"/>
        <v>2026</v>
      </c>
      <c r="D235" s="3" t="str">
        <f t="shared" si="20"/>
        <v>Wednesday</v>
      </c>
      <c r="E235" s="25">
        <v>46337</v>
      </c>
      <c r="F235" s="4" t="str">
        <f>PROPER(G:G)</f>
        <v>South</v>
      </c>
      <c r="G235" s="3" t="s">
        <v>56</v>
      </c>
      <c r="H235" s="3" t="s">
        <v>57</v>
      </c>
      <c r="I235" s="3" t="str">
        <f t="shared" si="21"/>
        <v>Retail</v>
      </c>
      <c r="J235" s="3" t="s">
        <v>90</v>
      </c>
      <c r="K235" s="3" t="s">
        <v>84</v>
      </c>
      <c r="L235" s="3" t="str">
        <f t="shared" si="22"/>
        <v>Desk Organizer</v>
      </c>
      <c r="M235" s="3" t="s">
        <v>134</v>
      </c>
      <c r="N235" s="5">
        <v>8</v>
      </c>
      <c r="O235" s="6">
        <v>13.22</v>
      </c>
      <c r="P235" s="7">
        <v>0.1</v>
      </c>
      <c r="Q235" s="6">
        <v>95.18</v>
      </c>
      <c r="R235" s="6">
        <v>48.65</v>
      </c>
      <c r="S235" s="6">
        <v>46.53</v>
      </c>
      <c r="T235" s="3" t="s">
        <v>88</v>
      </c>
    </row>
    <row r="236" spans="1:20">
      <c r="A236" s="3" t="s">
        <v>324</v>
      </c>
      <c r="B236" s="3" t="str">
        <f t="shared" si="18"/>
        <v>Oct</v>
      </c>
      <c r="C236" s="3" t="str">
        <f t="shared" si="19"/>
        <v>2025</v>
      </c>
      <c r="D236" s="3" t="str">
        <f t="shared" si="20"/>
        <v>Monday</v>
      </c>
      <c r="E236" s="25">
        <v>45957</v>
      </c>
      <c r="F236" s="4" t="str">
        <f>PROPER(G:G)</f>
        <v>West</v>
      </c>
      <c r="G236" s="3" t="s">
        <v>67</v>
      </c>
      <c r="H236" s="3" t="s">
        <v>68</v>
      </c>
      <c r="I236" s="3" t="str">
        <f t="shared" si="21"/>
        <v>Retail</v>
      </c>
      <c r="J236" s="3" t="s">
        <v>90</v>
      </c>
      <c r="K236" s="3" t="s">
        <v>52</v>
      </c>
      <c r="L236" s="3" t="str">
        <f t="shared" si="22"/>
        <v>Laptop Sleeve</v>
      </c>
      <c r="M236" s="3" t="s">
        <v>91</v>
      </c>
      <c r="N236" s="5">
        <v>6</v>
      </c>
      <c r="O236" s="6">
        <v>20.12</v>
      </c>
      <c r="P236" s="7">
        <v>0.15</v>
      </c>
      <c r="Q236" s="6">
        <v>102.61</v>
      </c>
      <c r="R236" s="6">
        <v>59.15</v>
      </c>
      <c r="S236" s="6">
        <v>43.46</v>
      </c>
      <c r="T236" s="3" t="s">
        <v>48</v>
      </c>
    </row>
    <row r="237" spans="1:20">
      <c r="A237" s="3" t="s">
        <v>325</v>
      </c>
      <c r="B237" s="3" t="str">
        <f t="shared" si="18"/>
        <v>Oct</v>
      </c>
      <c r="C237" s="3" t="str">
        <f t="shared" si="19"/>
        <v>2026</v>
      </c>
      <c r="D237" s="3" t="str">
        <f t="shared" si="20"/>
        <v>Monday</v>
      </c>
      <c r="E237" s="25">
        <v>46300</v>
      </c>
      <c r="F237" s="4" t="str">
        <f>PROPER(G:G)</f>
        <v>West</v>
      </c>
      <c r="G237" s="3" t="s">
        <v>67</v>
      </c>
      <c r="H237" s="3" t="s">
        <v>68</v>
      </c>
      <c r="I237" s="3" t="str">
        <f t="shared" si="21"/>
        <v>Online</v>
      </c>
      <c r="J237" s="3" t="s">
        <v>58</v>
      </c>
      <c r="K237" s="3" t="s">
        <v>46</v>
      </c>
      <c r="L237" s="3" t="str">
        <f t="shared" si="22"/>
        <v>Laptop Stand</v>
      </c>
      <c r="M237" s="3" t="s">
        <v>226</v>
      </c>
      <c r="N237" s="5">
        <v>3</v>
      </c>
      <c r="O237" s="6">
        <v>21.97</v>
      </c>
      <c r="P237" s="7">
        <v>0.05</v>
      </c>
      <c r="Q237" s="6">
        <v>62.61</v>
      </c>
      <c r="R237" s="6">
        <v>32.96</v>
      </c>
      <c r="S237" s="6">
        <v>29.65</v>
      </c>
      <c r="T237" s="3" t="s">
        <v>63</v>
      </c>
    </row>
    <row r="238" spans="1:20">
      <c r="A238" s="3" t="s">
        <v>326</v>
      </c>
      <c r="B238" s="3" t="str">
        <f t="shared" si="18"/>
        <v>Sep</v>
      </c>
      <c r="C238" s="3" t="str">
        <f t="shared" si="19"/>
        <v>2025</v>
      </c>
      <c r="D238" s="3" t="str">
        <f t="shared" si="20"/>
        <v>Monday</v>
      </c>
      <c r="E238" s="25">
        <v>45908</v>
      </c>
      <c r="F238" s="4" t="str">
        <f>PROPER(G:G)</f>
        <v>North</v>
      </c>
      <c r="G238" s="3" t="s">
        <v>50</v>
      </c>
      <c r="H238" s="3" t="s">
        <v>51</v>
      </c>
      <c r="I238" s="3" t="str">
        <f t="shared" si="21"/>
        <v>Online</v>
      </c>
      <c r="J238" s="3" t="s">
        <v>58</v>
      </c>
      <c r="K238" s="3" t="s">
        <v>84</v>
      </c>
      <c r="L238" s="3" t="str">
        <f t="shared" si="22"/>
        <v>Printer Paper</v>
      </c>
      <c r="M238" s="3" t="s">
        <v>96</v>
      </c>
      <c r="N238" s="5">
        <v>3</v>
      </c>
      <c r="O238" s="6">
        <v>13.51</v>
      </c>
      <c r="P238" s="7">
        <v>0.15</v>
      </c>
      <c r="Q238" s="6">
        <v>34.450000000000003</v>
      </c>
      <c r="R238" s="6">
        <v>15.4</v>
      </c>
      <c r="S238" s="6">
        <v>19.05</v>
      </c>
      <c r="T238" s="3" t="s">
        <v>88</v>
      </c>
    </row>
    <row r="239" spans="1:20">
      <c r="A239" s="3" t="s">
        <v>327</v>
      </c>
      <c r="B239" s="3" t="str">
        <f t="shared" si="18"/>
        <v>Jul</v>
      </c>
      <c r="C239" s="3" t="str">
        <f t="shared" si="19"/>
        <v>2026</v>
      </c>
      <c r="D239" s="3" t="str">
        <f t="shared" si="20"/>
        <v>Sunday</v>
      </c>
      <c r="E239" s="25">
        <v>46208</v>
      </c>
      <c r="F239" s="4" t="str">
        <f>PROPER(G:G)</f>
        <v>North</v>
      </c>
      <c r="G239" s="3" t="s">
        <v>50</v>
      </c>
      <c r="H239" s="3" t="s">
        <v>51</v>
      </c>
      <c r="I239" s="3" t="str">
        <f t="shared" si="21"/>
        <v>Online</v>
      </c>
      <c r="J239" s="3" t="s">
        <v>58</v>
      </c>
      <c r="K239" s="3" t="s">
        <v>69</v>
      </c>
      <c r="L239" s="3" t="str">
        <f t="shared" si="22"/>
        <v>Bookshelf</v>
      </c>
      <c r="M239" s="3" t="s">
        <v>70</v>
      </c>
      <c r="N239" s="5">
        <v>2</v>
      </c>
      <c r="O239" s="6">
        <v>94.14</v>
      </c>
      <c r="P239" s="7">
        <v>0.15</v>
      </c>
      <c r="Q239" s="6">
        <v>160.04</v>
      </c>
      <c r="R239" s="6">
        <v>97.91</v>
      </c>
      <c r="S239" s="6">
        <v>62.13</v>
      </c>
      <c r="T239" s="3" t="s">
        <v>63</v>
      </c>
    </row>
    <row r="240" spans="1:20">
      <c r="A240" s="3" t="s">
        <v>328</v>
      </c>
      <c r="B240" s="3" t="str">
        <f t="shared" si="18"/>
        <v>Apr</v>
      </c>
      <c r="C240" s="3" t="str">
        <f t="shared" si="19"/>
        <v>2025</v>
      </c>
      <c r="D240" s="3" t="str">
        <f t="shared" si="20"/>
        <v>Wednesday</v>
      </c>
      <c r="E240" s="25">
        <v>45763</v>
      </c>
      <c r="F240" s="4" t="str">
        <f>PROPER(G:G)</f>
        <v>South</v>
      </c>
      <c r="G240" s="3" t="s">
        <v>56</v>
      </c>
      <c r="H240" s="3" t="s">
        <v>57</v>
      </c>
      <c r="I240" s="3" t="str">
        <f t="shared" si="21"/>
        <v>Corporate</v>
      </c>
      <c r="J240" s="3" t="s">
        <v>72</v>
      </c>
      <c r="K240" s="3" t="s">
        <v>52</v>
      </c>
      <c r="L240" s="3" t="str">
        <f t="shared" si="22"/>
        <v>Laptop Sleeve</v>
      </c>
      <c r="M240" s="3" t="s">
        <v>91</v>
      </c>
      <c r="N240" s="5">
        <v>7</v>
      </c>
      <c r="O240" s="6">
        <v>20.47</v>
      </c>
      <c r="P240" s="7">
        <v>0.15</v>
      </c>
      <c r="Q240" s="6">
        <v>121.8</v>
      </c>
      <c r="R240" s="6">
        <v>70.209999999999994</v>
      </c>
      <c r="S240" s="6">
        <v>51.59</v>
      </c>
      <c r="T240" s="3" t="s">
        <v>88</v>
      </c>
    </row>
    <row r="241" spans="1:20">
      <c r="A241" s="3" t="s">
        <v>329</v>
      </c>
      <c r="B241" s="3" t="str">
        <f t="shared" si="18"/>
        <v>Feb</v>
      </c>
      <c r="C241" s="3" t="str">
        <f t="shared" si="19"/>
        <v>2026</v>
      </c>
      <c r="D241" s="3" t="str">
        <f t="shared" si="20"/>
        <v>Monday</v>
      </c>
      <c r="E241" s="25">
        <v>46055</v>
      </c>
      <c r="F241" s="4" t="str">
        <f>PROPER(G:G)</f>
        <v>East</v>
      </c>
      <c r="G241" s="3" t="s">
        <v>61</v>
      </c>
      <c r="H241" s="3" t="s">
        <v>62</v>
      </c>
      <c r="I241" s="3" t="str">
        <f t="shared" si="21"/>
        <v>Corporate</v>
      </c>
      <c r="J241" s="3" t="s">
        <v>72</v>
      </c>
      <c r="K241" s="3" t="s">
        <v>52</v>
      </c>
      <c r="L241" s="3" t="str">
        <f t="shared" si="22"/>
        <v>Keyboard Cover</v>
      </c>
      <c r="M241" s="3" t="s">
        <v>59</v>
      </c>
      <c r="N241" s="5">
        <v>7</v>
      </c>
      <c r="O241" s="6">
        <v>11.74</v>
      </c>
      <c r="P241" s="7">
        <v>0.1</v>
      </c>
      <c r="Q241" s="6">
        <v>73.959999999999994</v>
      </c>
      <c r="R241" s="6">
        <v>33.69</v>
      </c>
      <c r="S241" s="6">
        <v>40.270000000000003</v>
      </c>
      <c r="T241" s="3" t="s">
        <v>48</v>
      </c>
    </row>
    <row r="242" spans="1:20">
      <c r="A242" s="3" t="s">
        <v>330</v>
      </c>
      <c r="B242" s="3" t="str">
        <f t="shared" si="18"/>
        <v>Jul</v>
      </c>
      <c r="C242" s="3" t="str">
        <f t="shared" si="19"/>
        <v>2025</v>
      </c>
      <c r="D242" s="3" t="str">
        <f t="shared" si="20"/>
        <v>Thursday</v>
      </c>
      <c r="E242" s="25">
        <v>45862</v>
      </c>
      <c r="F242" s="4" t="str">
        <f>PROPER(G:G)</f>
        <v>East</v>
      </c>
      <c r="G242" s="3" t="s">
        <v>61</v>
      </c>
      <c r="H242" s="3" t="s">
        <v>62</v>
      </c>
      <c r="I242" s="3" t="str">
        <f t="shared" si="21"/>
        <v>Online</v>
      </c>
      <c r="J242" s="3" t="s">
        <v>58</v>
      </c>
      <c r="K242" s="3" t="s">
        <v>46</v>
      </c>
      <c r="L242" s="3" t="str">
        <f t="shared" si="22"/>
        <v>Laptop Stand</v>
      </c>
      <c r="M242" s="3" t="s">
        <v>116</v>
      </c>
      <c r="N242" s="5">
        <v>3</v>
      </c>
      <c r="O242" s="6">
        <v>23.8</v>
      </c>
      <c r="P242" s="7">
        <v>0</v>
      </c>
      <c r="Q242" s="6">
        <v>71.400000000000006</v>
      </c>
      <c r="R242" s="6">
        <v>35.700000000000003</v>
      </c>
      <c r="S242" s="6">
        <v>35.700000000000003</v>
      </c>
      <c r="T242" s="3" t="s">
        <v>48</v>
      </c>
    </row>
    <row r="243" spans="1:20">
      <c r="A243" s="3" t="s">
        <v>331</v>
      </c>
      <c r="B243" s="3" t="str">
        <f t="shared" si="18"/>
        <v>Jan</v>
      </c>
      <c r="C243" s="3" t="str">
        <f t="shared" si="19"/>
        <v>2026</v>
      </c>
      <c r="D243" s="3" t="str">
        <f t="shared" si="20"/>
        <v>Friday</v>
      </c>
      <c r="E243" s="25">
        <v>46038</v>
      </c>
      <c r="F243" s="4" t="str">
        <f>PROPER(G:G)</f>
        <v>North</v>
      </c>
      <c r="G243" s="3" t="s">
        <v>50</v>
      </c>
      <c r="H243" s="3" t="s">
        <v>51</v>
      </c>
      <c r="I243" s="3" t="str">
        <f t="shared" si="21"/>
        <v>Retail</v>
      </c>
      <c r="J243" s="3" t="s">
        <v>90</v>
      </c>
      <c r="K243" s="3" t="s">
        <v>69</v>
      </c>
      <c r="L243" s="3" t="str">
        <f t="shared" si="22"/>
        <v>Ergonomic Chair</v>
      </c>
      <c r="M243" s="3" t="s">
        <v>79</v>
      </c>
      <c r="N243" s="5">
        <v>3</v>
      </c>
      <c r="O243" s="6">
        <v>139.49</v>
      </c>
      <c r="P243" s="7">
        <v>0.1</v>
      </c>
      <c r="Q243" s="6">
        <v>376.62</v>
      </c>
      <c r="R243" s="6">
        <v>242.71</v>
      </c>
      <c r="S243" s="6">
        <v>133.91</v>
      </c>
      <c r="T243" s="3" t="s">
        <v>48</v>
      </c>
    </row>
    <row r="244" spans="1:20">
      <c r="A244" s="3" t="s">
        <v>332</v>
      </c>
      <c r="B244" s="3" t="str">
        <f t="shared" si="18"/>
        <v>Feb</v>
      </c>
      <c r="C244" s="3" t="str">
        <f t="shared" si="19"/>
        <v>2025</v>
      </c>
      <c r="D244" s="3" t="str">
        <f t="shared" si="20"/>
        <v>Monday</v>
      </c>
      <c r="E244" s="25">
        <v>45712</v>
      </c>
      <c r="F244" s="4" t="str">
        <f>PROPER(G:G)</f>
        <v>North</v>
      </c>
      <c r="G244" s="3" t="s">
        <v>50</v>
      </c>
      <c r="H244" s="3" t="s">
        <v>51</v>
      </c>
      <c r="I244" s="3" t="str">
        <f t="shared" si="21"/>
        <v>Online</v>
      </c>
      <c r="J244" s="3" t="s">
        <v>58</v>
      </c>
      <c r="K244" s="3" t="s">
        <v>69</v>
      </c>
      <c r="L244" s="3" t="str">
        <f t="shared" si="22"/>
        <v>Bookshelf</v>
      </c>
      <c r="M244" s="3" t="s">
        <v>70</v>
      </c>
      <c r="N244" s="5">
        <v>8</v>
      </c>
      <c r="O244" s="6">
        <v>95.07</v>
      </c>
      <c r="P244" s="7">
        <v>0.15</v>
      </c>
      <c r="Q244" s="6">
        <v>646.48</v>
      </c>
      <c r="R244" s="6">
        <v>395.49</v>
      </c>
      <c r="S244" s="6">
        <v>250.99</v>
      </c>
      <c r="T244" s="3" t="s">
        <v>65</v>
      </c>
    </row>
    <row r="245" spans="1:20">
      <c r="A245" s="3" t="s">
        <v>333</v>
      </c>
      <c r="B245" s="3" t="str">
        <f t="shared" si="18"/>
        <v>Aug</v>
      </c>
      <c r="C245" s="3" t="str">
        <f t="shared" si="19"/>
        <v>2026</v>
      </c>
      <c r="D245" s="3" t="str">
        <f t="shared" si="20"/>
        <v>Wednesday</v>
      </c>
      <c r="E245" s="25">
        <v>46260</v>
      </c>
      <c r="F245" s="4" t="str">
        <f>PROPER(G:G)</f>
        <v>West</v>
      </c>
      <c r="G245" s="3" t="s">
        <v>67</v>
      </c>
      <c r="H245" s="3" t="s">
        <v>68</v>
      </c>
      <c r="I245" s="3" t="str">
        <f t="shared" si="21"/>
        <v>Wholesale</v>
      </c>
      <c r="J245" s="3" t="s">
        <v>45</v>
      </c>
      <c r="K245" s="3" t="s">
        <v>46</v>
      </c>
      <c r="L245" s="3" t="str">
        <f t="shared" si="22"/>
        <v>Usb-C Hub</v>
      </c>
      <c r="M245" s="3" t="s">
        <v>93</v>
      </c>
      <c r="N245" s="5">
        <v>11</v>
      </c>
      <c r="O245" s="6">
        <v>26.27</v>
      </c>
      <c r="P245" s="7">
        <v>0</v>
      </c>
      <c r="Q245" s="6">
        <v>288.97000000000003</v>
      </c>
      <c r="R245" s="6">
        <v>158.93</v>
      </c>
      <c r="S245" s="6">
        <v>130.04</v>
      </c>
      <c r="T245" s="3" t="s">
        <v>65</v>
      </c>
    </row>
    <row r="246" spans="1:20">
      <c r="A246" s="3" t="s">
        <v>334</v>
      </c>
      <c r="B246" s="3" t="str">
        <f t="shared" si="18"/>
        <v>Jan</v>
      </c>
      <c r="C246" s="3" t="str">
        <f t="shared" si="19"/>
        <v>2025</v>
      </c>
      <c r="D246" s="3" t="str">
        <f t="shared" si="20"/>
        <v>Friday</v>
      </c>
      <c r="E246" s="25">
        <v>45674</v>
      </c>
      <c r="F246" s="4" t="str">
        <f>PROPER(G:G)</f>
        <v>Central</v>
      </c>
      <c r="G246" s="3" t="s">
        <v>74</v>
      </c>
      <c r="H246" s="3" t="s">
        <v>57</v>
      </c>
      <c r="I246" s="3" t="str">
        <f t="shared" si="21"/>
        <v>Corporate</v>
      </c>
      <c r="J246" s="3" t="s">
        <v>72</v>
      </c>
      <c r="K246" s="3" t="s">
        <v>52</v>
      </c>
      <c r="L246" s="3" t="str">
        <f t="shared" si="22"/>
        <v>Water Bottle</v>
      </c>
      <c r="M246" s="3" t="s">
        <v>53</v>
      </c>
      <c r="N246" s="5">
        <v>6</v>
      </c>
      <c r="O246" s="6">
        <v>10.37</v>
      </c>
      <c r="P246" s="7">
        <v>0.05</v>
      </c>
      <c r="Q246" s="6">
        <v>59.11</v>
      </c>
      <c r="R246" s="6">
        <v>26.75</v>
      </c>
      <c r="S246" s="6">
        <v>32.36</v>
      </c>
      <c r="T246" s="3" t="s">
        <v>63</v>
      </c>
    </row>
    <row r="247" spans="1:20">
      <c r="A247" s="3" t="s">
        <v>336</v>
      </c>
      <c r="B247" s="3" t="str">
        <f t="shared" si="18"/>
        <v>Feb</v>
      </c>
      <c r="C247" s="3" t="str">
        <f t="shared" si="19"/>
        <v>2026</v>
      </c>
      <c r="D247" s="3" t="str">
        <f t="shared" si="20"/>
        <v>Thursday</v>
      </c>
      <c r="E247" s="25">
        <v>46065</v>
      </c>
      <c r="F247" s="4" t="str">
        <f>PROPER(G:G)</f>
        <v>West</v>
      </c>
      <c r="G247" s="3" t="s">
        <v>67</v>
      </c>
      <c r="H247" s="3" t="s">
        <v>68</v>
      </c>
      <c r="I247" s="3" t="str">
        <f t="shared" si="21"/>
        <v>Retail</v>
      </c>
      <c r="J247" s="3" t="s">
        <v>90</v>
      </c>
      <c r="K247" s="3" t="s">
        <v>52</v>
      </c>
      <c r="L247" s="3" t="str">
        <f t="shared" si="22"/>
        <v>Water Bottle</v>
      </c>
      <c r="M247" s="3" t="s">
        <v>53</v>
      </c>
      <c r="N247" s="5">
        <v>4</v>
      </c>
      <c r="O247" s="6">
        <v>9.8699999999999992</v>
      </c>
      <c r="P247" s="7">
        <v>0.05</v>
      </c>
      <c r="Q247" s="6">
        <v>37.51</v>
      </c>
      <c r="R247" s="6">
        <v>16.98</v>
      </c>
      <c r="S247" s="6">
        <v>20.53</v>
      </c>
      <c r="T247" s="3" t="s">
        <v>77</v>
      </c>
    </row>
    <row r="248" spans="1:20">
      <c r="A248" s="3" t="s">
        <v>337</v>
      </c>
      <c r="B248" s="3" t="str">
        <f t="shared" si="18"/>
        <v>Aug</v>
      </c>
      <c r="C248" s="3" t="str">
        <f t="shared" si="19"/>
        <v>2025</v>
      </c>
      <c r="D248" s="3" t="str">
        <f t="shared" si="20"/>
        <v>Wednesday</v>
      </c>
      <c r="E248" s="25">
        <v>45889</v>
      </c>
      <c r="F248" s="4" t="str">
        <f>PROPER(G:G)</f>
        <v>South</v>
      </c>
      <c r="G248" s="3" t="s">
        <v>165</v>
      </c>
      <c r="H248" s="3" t="s">
        <v>57</v>
      </c>
      <c r="I248" s="3" t="str">
        <f t="shared" si="21"/>
        <v>Wholesale</v>
      </c>
      <c r="J248" s="3" t="s">
        <v>45</v>
      </c>
      <c r="K248" s="3" t="s">
        <v>84</v>
      </c>
      <c r="L248" s="3" t="str">
        <f t="shared" si="22"/>
        <v>Desk Organizer</v>
      </c>
      <c r="M248" s="3" t="s">
        <v>134</v>
      </c>
      <c r="N248" s="5">
        <v>7</v>
      </c>
      <c r="O248" s="6">
        <v>14.69</v>
      </c>
      <c r="P248" s="7">
        <v>0.1</v>
      </c>
      <c r="Q248" s="6">
        <v>92.55</v>
      </c>
      <c r="R248" s="6">
        <v>47.3</v>
      </c>
      <c r="S248" s="6">
        <v>45.25</v>
      </c>
      <c r="T248" s="3" t="s">
        <v>77</v>
      </c>
    </row>
    <row r="249" spans="1:20">
      <c r="A249" s="3" t="s">
        <v>338</v>
      </c>
      <c r="B249" s="3" t="str">
        <f t="shared" si="18"/>
        <v>Dec</v>
      </c>
      <c r="C249" s="3" t="str">
        <f t="shared" si="19"/>
        <v>2026</v>
      </c>
      <c r="D249" s="3" t="str">
        <f t="shared" si="20"/>
        <v>Saturday</v>
      </c>
      <c r="E249" s="25">
        <v>46368</v>
      </c>
      <c r="F249" s="4" t="str">
        <f>PROPER(G:G)</f>
        <v>South</v>
      </c>
      <c r="G249" s="3" t="s">
        <v>56</v>
      </c>
      <c r="H249" s="3" t="s">
        <v>57</v>
      </c>
      <c r="I249" s="3" t="str">
        <f t="shared" si="21"/>
        <v>Retail</v>
      </c>
      <c r="J249" s="3" t="s">
        <v>90</v>
      </c>
      <c r="K249" s="3" t="s">
        <v>46</v>
      </c>
      <c r="L249" s="3" t="str">
        <f t="shared" si="22"/>
        <v>Usb-C Hub</v>
      </c>
      <c r="M249" s="3" t="s">
        <v>93</v>
      </c>
      <c r="N249" s="5">
        <v>10</v>
      </c>
      <c r="O249" s="6">
        <v>24.59</v>
      </c>
      <c r="P249" s="7">
        <v>0</v>
      </c>
      <c r="Q249" s="6">
        <v>245.9</v>
      </c>
      <c r="R249" s="6">
        <v>135.25</v>
      </c>
      <c r="S249" s="6">
        <v>110.65</v>
      </c>
      <c r="T249" s="3" t="s">
        <v>88</v>
      </c>
    </row>
    <row r="250" spans="1:20">
      <c r="A250" s="3" t="s">
        <v>339</v>
      </c>
      <c r="B250" s="3" t="str">
        <f t="shared" si="18"/>
        <v>Mar</v>
      </c>
      <c r="C250" s="3" t="str">
        <f t="shared" si="19"/>
        <v>2025</v>
      </c>
      <c r="D250" s="3" t="str">
        <f t="shared" si="20"/>
        <v>Thursday</v>
      </c>
      <c r="E250" s="25">
        <v>45722</v>
      </c>
      <c r="F250" s="4" t="str">
        <f>PROPER(G:G)</f>
        <v>East</v>
      </c>
      <c r="G250" s="3" t="s">
        <v>61</v>
      </c>
      <c r="H250" s="3" t="s">
        <v>62</v>
      </c>
      <c r="I250" s="3" t="str">
        <f t="shared" si="21"/>
        <v>Wholesale</v>
      </c>
      <c r="J250" s="3" t="s">
        <v>45</v>
      </c>
      <c r="K250" s="3" t="s">
        <v>46</v>
      </c>
      <c r="L250" s="3" t="str">
        <f t="shared" si="22"/>
        <v>Laptop Stand</v>
      </c>
      <c r="M250" s="3" t="s">
        <v>116</v>
      </c>
      <c r="N250" s="5">
        <v>8</v>
      </c>
      <c r="O250" s="6">
        <v>20.98</v>
      </c>
      <c r="P250" s="7">
        <v>0.15</v>
      </c>
      <c r="Q250" s="6">
        <v>142.66</v>
      </c>
      <c r="R250" s="6">
        <v>83.92</v>
      </c>
      <c r="S250" s="6">
        <v>58.74</v>
      </c>
      <c r="T250" s="3" t="s">
        <v>63</v>
      </c>
    </row>
    <row r="251" spans="1:20">
      <c r="A251" s="3" t="s">
        <v>340</v>
      </c>
      <c r="B251" s="3" t="str">
        <f t="shared" si="18"/>
        <v>Feb</v>
      </c>
      <c r="C251" s="3" t="str">
        <f t="shared" si="19"/>
        <v>2026</v>
      </c>
      <c r="D251" s="3" t="str">
        <f t="shared" si="20"/>
        <v>Monday</v>
      </c>
      <c r="E251" s="25">
        <v>46062</v>
      </c>
      <c r="F251" s="4" t="str">
        <f>PROPER(G:G)</f>
        <v>West</v>
      </c>
      <c r="G251" s="3" t="s">
        <v>67</v>
      </c>
      <c r="H251" s="3" t="s">
        <v>68</v>
      </c>
      <c r="I251" s="3" t="str">
        <f t="shared" si="21"/>
        <v>Online</v>
      </c>
      <c r="J251" s="3" t="s">
        <v>58</v>
      </c>
      <c r="K251" s="3" t="s">
        <v>52</v>
      </c>
      <c r="L251" s="3" t="str">
        <f t="shared" si="22"/>
        <v>Water Bottle</v>
      </c>
      <c r="M251" s="3" t="s">
        <v>53</v>
      </c>
      <c r="N251" s="5">
        <v>2</v>
      </c>
      <c r="O251" s="6">
        <v>11.09</v>
      </c>
      <c r="P251" s="7">
        <v>0.15</v>
      </c>
      <c r="Q251" s="6">
        <v>18.850000000000001</v>
      </c>
      <c r="R251" s="6">
        <v>9.5399999999999991</v>
      </c>
      <c r="S251" s="6">
        <v>9.31</v>
      </c>
      <c r="T251" s="3" t="s">
        <v>54</v>
      </c>
    </row>
    <row r="252" spans="1:20">
      <c r="A252" s="3" t="s">
        <v>341</v>
      </c>
      <c r="B252" s="3" t="str">
        <f t="shared" si="18"/>
        <v>Jan</v>
      </c>
      <c r="C252" s="3" t="str">
        <f t="shared" si="19"/>
        <v>2025</v>
      </c>
      <c r="D252" s="3" t="str">
        <f t="shared" si="20"/>
        <v>Sunday</v>
      </c>
      <c r="E252" s="25">
        <v>45669</v>
      </c>
      <c r="F252" s="4" t="str">
        <f>PROPER(G:G)</f>
        <v>East</v>
      </c>
      <c r="G252" s="3" t="s">
        <v>61</v>
      </c>
      <c r="H252" s="3" t="s">
        <v>62</v>
      </c>
      <c r="I252" s="3" t="str">
        <f t="shared" si="21"/>
        <v>Wholesale</v>
      </c>
      <c r="J252" s="3" t="s">
        <v>45</v>
      </c>
      <c r="K252" s="3" t="s">
        <v>84</v>
      </c>
      <c r="L252" s="3" t="str">
        <f t="shared" si="22"/>
        <v>Printer Paper</v>
      </c>
      <c r="M252" s="3" t="s">
        <v>96</v>
      </c>
      <c r="N252" s="5">
        <v>3</v>
      </c>
      <c r="O252" s="6">
        <v>10.85</v>
      </c>
      <c r="P252" s="7">
        <v>0.05</v>
      </c>
      <c r="Q252" s="6">
        <v>30.92</v>
      </c>
      <c r="R252" s="6">
        <v>12.37</v>
      </c>
      <c r="S252" s="6">
        <v>18.55</v>
      </c>
      <c r="T252" s="3" t="s">
        <v>48</v>
      </c>
    </row>
    <row r="253" spans="1:20">
      <c r="A253" s="3" t="s">
        <v>342</v>
      </c>
      <c r="B253" s="3" t="str">
        <f t="shared" si="18"/>
        <v>May</v>
      </c>
      <c r="C253" s="3" t="str">
        <f t="shared" si="19"/>
        <v>2026</v>
      </c>
      <c r="D253" s="3" t="str">
        <f t="shared" si="20"/>
        <v>Thursday</v>
      </c>
      <c r="E253" s="25">
        <v>46163</v>
      </c>
      <c r="F253" s="4" t="str">
        <f>PROPER(G:G)</f>
        <v>North</v>
      </c>
      <c r="G253" s="3" t="s">
        <v>50</v>
      </c>
      <c r="H253" s="3" t="s">
        <v>51</v>
      </c>
      <c r="I253" s="3" t="str">
        <f t="shared" si="21"/>
        <v>Online</v>
      </c>
      <c r="J253" s="3" t="s">
        <v>58</v>
      </c>
      <c r="K253" s="3" t="s">
        <v>52</v>
      </c>
      <c r="L253" s="3" t="str">
        <f t="shared" si="22"/>
        <v>Laptop Sleeve</v>
      </c>
      <c r="M253" s="3" t="s">
        <v>91</v>
      </c>
      <c r="N253" s="5">
        <v>3</v>
      </c>
      <c r="O253" s="6">
        <v>21.3</v>
      </c>
      <c r="P253" s="7">
        <v>0.05</v>
      </c>
      <c r="Q253" s="6">
        <v>60.71</v>
      </c>
      <c r="R253" s="6">
        <v>31.31</v>
      </c>
      <c r="S253" s="6">
        <v>29.4</v>
      </c>
      <c r="T253" s="3" t="s">
        <v>65</v>
      </c>
    </row>
    <row r="254" spans="1:20">
      <c r="A254" s="3" t="s">
        <v>343</v>
      </c>
      <c r="B254" s="3" t="str">
        <f t="shared" si="18"/>
        <v>Jun</v>
      </c>
      <c r="C254" s="3" t="str">
        <f t="shared" si="19"/>
        <v>2025</v>
      </c>
      <c r="D254" s="3" t="str">
        <f t="shared" si="20"/>
        <v>Thursday</v>
      </c>
      <c r="E254" s="25">
        <v>45827</v>
      </c>
      <c r="F254" s="4" t="str">
        <f>PROPER(G:G)</f>
        <v>West</v>
      </c>
      <c r="G254" s="3" t="s">
        <v>67</v>
      </c>
      <c r="H254" s="3" t="s">
        <v>68</v>
      </c>
      <c r="I254" s="3" t="str">
        <f t="shared" si="21"/>
        <v>Corporate</v>
      </c>
      <c r="J254" s="3" t="s">
        <v>72</v>
      </c>
      <c r="K254" s="3" t="s">
        <v>69</v>
      </c>
      <c r="L254" s="3" t="str">
        <f t="shared" si="22"/>
        <v>Standing Desk</v>
      </c>
      <c r="M254" s="3" t="s">
        <v>81</v>
      </c>
      <c r="N254" s="5">
        <v>4</v>
      </c>
      <c r="O254" s="6">
        <v>258.38</v>
      </c>
      <c r="P254" s="7">
        <v>0</v>
      </c>
      <c r="Q254" s="6">
        <v>1033.52</v>
      </c>
      <c r="R254" s="6">
        <v>620.11</v>
      </c>
      <c r="S254" s="6">
        <v>413.41</v>
      </c>
      <c r="T254" s="3" t="s">
        <v>65</v>
      </c>
    </row>
    <row r="255" spans="1:20">
      <c r="A255" s="3" t="s">
        <v>344</v>
      </c>
      <c r="B255" s="3" t="str">
        <f t="shared" si="18"/>
        <v>Oct</v>
      </c>
      <c r="C255" s="3" t="str">
        <f t="shared" si="19"/>
        <v>2026</v>
      </c>
      <c r="D255" s="3" t="str">
        <f t="shared" si="20"/>
        <v>Thursday</v>
      </c>
      <c r="E255" s="25">
        <v>46317</v>
      </c>
      <c r="F255" s="4" t="str">
        <f>PROPER(G:G)</f>
        <v>South</v>
      </c>
      <c r="G255" s="3" t="s">
        <v>56</v>
      </c>
      <c r="H255" s="3" t="s">
        <v>57</v>
      </c>
      <c r="I255" s="3" t="str">
        <f t="shared" si="21"/>
        <v>Wholesale</v>
      </c>
      <c r="J255" s="3" t="s">
        <v>45</v>
      </c>
      <c r="K255" s="3" t="s">
        <v>69</v>
      </c>
      <c r="L255" s="3" t="str">
        <f t="shared" si="22"/>
        <v>Standing Desk</v>
      </c>
      <c r="M255" s="3" t="s">
        <v>81</v>
      </c>
      <c r="N255" s="5">
        <v>5</v>
      </c>
      <c r="O255" s="6">
        <v>260.52</v>
      </c>
      <c r="P255" s="7">
        <v>0.15</v>
      </c>
      <c r="Q255" s="6">
        <v>1107.21</v>
      </c>
      <c r="R255" s="6">
        <v>781.56</v>
      </c>
      <c r="S255" s="6">
        <v>325.64999999999998</v>
      </c>
      <c r="T255" s="3" t="s">
        <v>63</v>
      </c>
    </row>
    <row r="256" spans="1:20">
      <c r="A256" s="3" t="s">
        <v>345</v>
      </c>
      <c r="B256" s="3" t="str">
        <f t="shared" si="18"/>
        <v>Mar</v>
      </c>
      <c r="C256" s="3" t="str">
        <f t="shared" si="19"/>
        <v>2025</v>
      </c>
      <c r="D256" s="3" t="str">
        <f t="shared" si="20"/>
        <v>Tuesday</v>
      </c>
      <c r="E256" s="25">
        <v>45734</v>
      </c>
      <c r="F256" s="4" t="str">
        <f>PROPER(G:G)</f>
        <v>Central</v>
      </c>
      <c r="G256" s="3" t="s">
        <v>74</v>
      </c>
      <c r="H256" s="3" t="s">
        <v>44</v>
      </c>
      <c r="I256" s="3" t="str">
        <f t="shared" si="21"/>
        <v>Wholesale</v>
      </c>
      <c r="J256" s="3" t="s">
        <v>45</v>
      </c>
      <c r="K256" s="3" t="s">
        <v>52</v>
      </c>
      <c r="L256" s="3" t="str">
        <f t="shared" si="22"/>
        <v>Laptop Sleeve</v>
      </c>
      <c r="M256" s="3" t="s">
        <v>91</v>
      </c>
      <c r="N256" s="5">
        <v>11</v>
      </c>
      <c r="O256" s="6">
        <v>21.85</v>
      </c>
      <c r="P256" s="7">
        <v>0.1</v>
      </c>
      <c r="Q256" s="6">
        <v>216.32</v>
      </c>
      <c r="R256" s="6">
        <v>117.77</v>
      </c>
      <c r="S256" s="6">
        <v>98.55</v>
      </c>
      <c r="T256" s="3" t="s">
        <v>65</v>
      </c>
    </row>
    <row r="257" spans="1:20">
      <c r="A257" s="3" t="s">
        <v>346</v>
      </c>
      <c r="B257" s="3" t="str">
        <f t="shared" si="18"/>
        <v>Jun</v>
      </c>
      <c r="C257" s="3" t="str">
        <f t="shared" si="19"/>
        <v>2026</v>
      </c>
      <c r="D257" s="3" t="str">
        <f t="shared" si="20"/>
        <v>Thursday</v>
      </c>
      <c r="E257" s="25">
        <v>46198</v>
      </c>
      <c r="F257" s="4" t="str">
        <f>PROPER(G:G)</f>
        <v>East</v>
      </c>
      <c r="G257" s="3" t="s">
        <v>61</v>
      </c>
      <c r="H257" s="3" t="s">
        <v>62</v>
      </c>
      <c r="I257" s="3" t="str">
        <f t="shared" si="21"/>
        <v>Retail</v>
      </c>
      <c r="J257" s="3" t="s">
        <v>90</v>
      </c>
      <c r="K257" s="3" t="s">
        <v>52</v>
      </c>
      <c r="L257" s="3" t="str">
        <f t="shared" si="22"/>
        <v>Laptop Sleeve</v>
      </c>
      <c r="M257" s="3" t="s">
        <v>91</v>
      </c>
      <c r="N257" s="5">
        <v>5</v>
      </c>
      <c r="O257" s="6">
        <v>20.38</v>
      </c>
      <c r="P257" s="7">
        <v>0.15</v>
      </c>
      <c r="Q257" s="6">
        <v>86.62</v>
      </c>
      <c r="R257" s="6">
        <v>49.93</v>
      </c>
      <c r="S257" s="6">
        <v>36.69</v>
      </c>
      <c r="T257" s="3" t="s">
        <v>77</v>
      </c>
    </row>
    <row r="258" spans="1:20">
      <c r="A258" s="3" t="s">
        <v>347</v>
      </c>
      <c r="B258" s="3" t="str">
        <f t="shared" ref="B258:B321" si="23">TEXT(E:E,"mmm")</f>
        <v>Jul</v>
      </c>
      <c r="C258" s="3" t="str">
        <f t="shared" ref="C258:C321" si="24">TEXT(E:E,"YYYY")</f>
        <v>2025</v>
      </c>
      <c r="D258" s="3" t="str">
        <f t="shared" ref="D258:D321" si="25">TEXT(E:E,"DDDD")</f>
        <v>Thursday</v>
      </c>
      <c r="E258" s="25">
        <v>45848</v>
      </c>
      <c r="F258" s="4" t="str">
        <f t="shared" ref="F258:F301" si="26">PROPER(G:G)</f>
        <v>North</v>
      </c>
      <c r="G258" s="3" t="s">
        <v>50</v>
      </c>
      <c r="H258" s="3" t="s">
        <v>51</v>
      </c>
      <c r="I258" s="3" t="str">
        <f t="shared" ref="I258:I321" si="27">PROPER(J:J)</f>
        <v>Online</v>
      </c>
      <c r="J258" s="3" t="s">
        <v>58</v>
      </c>
      <c r="K258" s="3" t="s">
        <v>52</v>
      </c>
      <c r="L258" s="3" t="str">
        <f t="shared" ref="L258:L301" si="28">PROPER(TRIM(M:M))</f>
        <v>Water Bottle</v>
      </c>
      <c r="M258" s="3" t="s">
        <v>53</v>
      </c>
      <c r="N258" s="5">
        <v>6</v>
      </c>
      <c r="O258" s="6">
        <v>10.38</v>
      </c>
      <c r="P258" s="7">
        <v>0.1</v>
      </c>
      <c r="Q258" s="6">
        <v>56.05</v>
      </c>
      <c r="R258" s="6">
        <v>26.78</v>
      </c>
      <c r="S258" s="6">
        <v>29.27</v>
      </c>
      <c r="T258" s="3" t="s">
        <v>63</v>
      </c>
    </row>
    <row r="259" spans="1:20">
      <c r="A259" s="3" t="s">
        <v>348</v>
      </c>
      <c r="B259" s="3" t="str">
        <f t="shared" si="23"/>
        <v>Oct</v>
      </c>
      <c r="C259" s="3" t="str">
        <f t="shared" si="24"/>
        <v>2026</v>
      </c>
      <c r="D259" s="3" t="str">
        <f t="shared" si="25"/>
        <v>Wednesday</v>
      </c>
      <c r="E259" s="25">
        <v>46309</v>
      </c>
      <c r="F259" s="4" t="str">
        <f t="shared" si="26"/>
        <v>Central</v>
      </c>
      <c r="G259" s="3" t="s">
        <v>74</v>
      </c>
      <c r="H259" s="3" t="s">
        <v>44</v>
      </c>
      <c r="I259" s="3" t="str">
        <f t="shared" si="27"/>
        <v>Online</v>
      </c>
      <c r="J259" s="3" t="s">
        <v>58</v>
      </c>
      <c r="K259" s="3" t="s">
        <v>52</v>
      </c>
      <c r="L259" s="3" t="str">
        <f t="shared" si="28"/>
        <v>Laptop Sleeve</v>
      </c>
      <c r="M259" s="3" t="s">
        <v>91</v>
      </c>
      <c r="N259" s="5">
        <v>7</v>
      </c>
      <c r="O259" s="6">
        <v>18.03</v>
      </c>
      <c r="P259" s="7">
        <v>0.15</v>
      </c>
      <c r="Q259" s="6">
        <v>107.28</v>
      </c>
      <c r="R259" s="6">
        <v>61.84</v>
      </c>
      <c r="S259" s="6">
        <v>45.44</v>
      </c>
      <c r="T259" s="3" t="s">
        <v>48</v>
      </c>
    </row>
    <row r="260" spans="1:20">
      <c r="A260" s="3" t="s">
        <v>349</v>
      </c>
      <c r="B260" s="3" t="str">
        <f t="shared" si="23"/>
        <v>Nov</v>
      </c>
      <c r="C260" s="3" t="str">
        <f t="shared" si="24"/>
        <v>2025</v>
      </c>
      <c r="D260" s="3" t="str">
        <f t="shared" si="25"/>
        <v>Tuesday</v>
      </c>
      <c r="E260" s="25">
        <v>45979</v>
      </c>
      <c r="F260" s="4" t="str">
        <f t="shared" si="26"/>
        <v>Central</v>
      </c>
      <c r="G260" s="3" t="s">
        <v>74</v>
      </c>
      <c r="H260" s="3" t="s">
        <v>44</v>
      </c>
      <c r="I260" s="3" t="str">
        <f t="shared" si="27"/>
        <v>Wholesale</v>
      </c>
      <c r="J260" s="3" t="s">
        <v>45</v>
      </c>
      <c r="K260" s="3" t="s">
        <v>52</v>
      </c>
      <c r="L260" s="3" t="str">
        <f t="shared" si="28"/>
        <v>Laptop Sleeve</v>
      </c>
      <c r="M260" s="3" t="s">
        <v>91</v>
      </c>
      <c r="N260" s="5">
        <v>9</v>
      </c>
      <c r="O260" s="6">
        <v>18.84</v>
      </c>
      <c r="P260" s="7">
        <v>0.15</v>
      </c>
      <c r="Q260" s="6">
        <v>144.13</v>
      </c>
      <c r="R260" s="6">
        <v>83.08</v>
      </c>
      <c r="S260" s="6">
        <v>61.05</v>
      </c>
      <c r="T260" s="3" t="s">
        <v>88</v>
      </c>
    </row>
    <row r="261" spans="1:20">
      <c r="A261" s="3" t="s">
        <v>350</v>
      </c>
      <c r="B261" s="3" t="str">
        <f t="shared" si="23"/>
        <v>Mar</v>
      </c>
      <c r="C261" s="3" t="str">
        <f t="shared" si="24"/>
        <v>2026</v>
      </c>
      <c r="D261" s="3" t="str">
        <f t="shared" si="25"/>
        <v>Sunday</v>
      </c>
      <c r="E261" s="25">
        <v>46103</v>
      </c>
      <c r="F261" s="4" t="str">
        <f t="shared" si="26"/>
        <v>South</v>
      </c>
      <c r="G261" s="3" t="s">
        <v>56</v>
      </c>
      <c r="H261" s="3" t="s">
        <v>57</v>
      </c>
      <c r="I261" s="3" t="str">
        <f t="shared" si="27"/>
        <v>Retail</v>
      </c>
      <c r="J261" s="3" t="s">
        <v>90</v>
      </c>
      <c r="K261" s="3" t="s">
        <v>84</v>
      </c>
      <c r="L261" s="3" t="str">
        <f t="shared" si="28"/>
        <v>Notebook Set</v>
      </c>
      <c r="M261" s="3" t="s">
        <v>85</v>
      </c>
      <c r="N261" s="5">
        <v>8</v>
      </c>
      <c r="O261" s="6">
        <v>6.72</v>
      </c>
      <c r="P261" s="7">
        <v>0.15</v>
      </c>
      <c r="Q261" s="6">
        <v>45.7</v>
      </c>
      <c r="R261" s="6">
        <v>21.5</v>
      </c>
      <c r="S261" s="6">
        <v>24.2</v>
      </c>
      <c r="T261" s="3" t="s">
        <v>88</v>
      </c>
    </row>
    <row r="262" spans="1:20">
      <c r="A262" s="3" t="s">
        <v>351</v>
      </c>
      <c r="B262" s="3" t="str">
        <f t="shared" si="23"/>
        <v>Nov</v>
      </c>
      <c r="C262" s="3" t="str">
        <f t="shared" si="24"/>
        <v>2025</v>
      </c>
      <c r="D262" s="3" t="str">
        <f t="shared" si="25"/>
        <v>Friday</v>
      </c>
      <c r="E262" s="25">
        <v>45989</v>
      </c>
      <c r="F262" s="4" t="str">
        <f t="shared" si="26"/>
        <v>East</v>
      </c>
      <c r="G262" s="3" t="s">
        <v>61</v>
      </c>
      <c r="H262" s="3" t="s">
        <v>62</v>
      </c>
      <c r="I262" s="3" t="str">
        <f t="shared" si="27"/>
        <v>Online</v>
      </c>
      <c r="J262" s="3" t="s">
        <v>58</v>
      </c>
      <c r="K262" s="3" t="s">
        <v>46</v>
      </c>
      <c r="L262" s="3" t="str">
        <f t="shared" si="28"/>
        <v>Wireless Mouse</v>
      </c>
      <c r="M262" s="3" t="s">
        <v>75</v>
      </c>
      <c r="N262" s="5">
        <v>2</v>
      </c>
      <c r="O262" s="6">
        <v>18.78</v>
      </c>
      <c r="P262" s="7">
        <v>0.05</v>
      </c>
      <c r="Q262" s="6">
        <v>35.68</v>
      </c>
      <c r="R262" s="6">
        <v>18.03</v>
      </c>
      <c r="S262" s="6">
        <v>17.649999999999999</v>
      </c>
      <c r="T262" s="3" t="s">
        <v>48</v>
      </c>
    </row>
    <row r="263" spans="1:20">
      <c r="A263" s="3" t="s">
        <v>352</v>
      </c>
      <c r="B263" s="3" t="str">
        <f t="shared" si="23"/>
        <v>May</v>
      </c>
      <c r="C263" s="3" t="str">
        <f t="shared" si="24"/>
        <v>2026</v>
      </c>
      <c r="D263" s="3" t="str">
        <f t="shared" si="25"/>
        <v>Friday</v>
      </c>
      <c r="E263" s="25">
        <v>46150</v>
      </c>
      <c r="F263" s="4" t="str">
        <f t="shared" si="26"/>
        <v>West</v>
      </c>
      <c r="G263" s="3" t="s">
        <v>67</v>
      </c>
      <c r="H263" s="3" t="s">
        <v>68</v>
      </c>
      <c r="I263" s="3" t="str">
        <f t="shared" si="27"/>
        <v>Wholesale</v>
      </c>
      <c r="J263" s="3" t="s">
        <v>45</v>
      </c>
      <c r="K263" s="3" t="s">
        <v>46</v>
      </c>
      <c r="L263" s="3" t="str">
        <f t="shared" si="28"/>
        <v>Wireless Mouse</v>
      </c>
      <c r="M263" s="3" t="s">
        <v>75</v>
      </c>
      <c r="N263" s="5">
        <v>2</v>
      </c>
      <c r="O263" s="6">
        <v>18.36</v>
      </c>
      <c r="P263" s="7">
        <v>0.1</v>
      </c>
      <c r="Q263" s="6">
        <v>33.049999999999997</v>
      </c>
      <c r="R263" s="6">
        <v>17.63</v>
      </c>
      <c r="S263" s="6">
        <v>15.42</v>
      </c>
      <c r="T263" s="3" t="s">
        <v>77</v>
      </c>
    </row>
    <row r="264" spans="1:20">
      <c r="A264" s="3" t="s">
        <v>353</v>
      </c>
      <c r="B264" s="3" t="str">
        <f t="shared" si="23"/>
        <v>Dec</v>
      </c>
      <c r="C264" s="3" t="str">
        <f t="shared" si="24"/>
        <v>2025</v>
      </c>
      <c r="D264" s="3" t="str">
        <f t="shared" si="25"/>
        <v>Friday</v>
      </c>
      <c r="E264" s="25">
        <v>45996</v>
      </c>
      <c r="F264" s="4" t="str">
        <f t="shared" si="26"/>
        <v>North</v>
      </c>
      <c r="G264" s="3" t="s">
        <v>50</v>
      </c>
      <c r="H264" s="3" t="s">
        <v>51</v>
      </c>
      <c r="I264" s="3" t="str">
        <f t="shared" si="27"/>
        <v>Wholesale</v>
      </c>
      <c r="J264" s="3" t="s">
        <v>45</v>
      </c>
      <c r="K264" s="3" t="s">
        <v>69</v>
      </c>
      <c r="L264" s="3" t="str">
        <f t="shared" si="28"/>
        <v>Standing Desk</v>
      </c>
      <c r="M264" s="3" t="s">
        <v>81</v>
      </c>
      <c r="N264" s="5">
        <v>1</v>
      </c>
      <c r="O264" s="6">
        <v>261.54000000000002</v>
      </c>
      <c r="P264" s="7">
        <v>0.1</v>
      </c>
      <c r="Q264" s="6">
        <v>235.39</v>
      </c>
      <c r="R264" s="6">
        <v>156.91999999999999</v>
      </c>
      <c r="S264" s="6">
        <v>78.47</v>
      </c>
      <c r="T264" s="3" t="s">
        <v>48</v>
      </c>
    </row>
    <row r="265" spans="1:20">
      <c r="A265" s="3" t="s">
        <v>354</v>
      </c>
      <c r="B265" s="3" t="str">
        <f t="shared" si="23"/>
        <v>Nov</v>
      </c>
      <c r="C265" s="3" t="str">
        <f t="shared" si="24"/>
        <v>2026</v>
      </c>
      <c r="D265" s="3" t="str">
        <f t="shared" si="25"/>
        <v>Sunday</v>
      </c>
      <c r="E265" s="25">
        <v>46348</v>
      </c>
      <c r="F265" s="4" t="str">
        <f t="shared" si="26"/>
        <v>South</v>
      </c>
      <c r="G265" s="3" t="s">
        <v>56</v>
      </c>
      <c r="H265" s="3" t="s">
        <v>57</v>
      </c>
      <c r="I265" s="3" t="str">
        <f t="shared" si="27"/>
        <v>Online</v>
      </c>
      <c r="J265" s="3" t="s">
        <v>58</v>
      </c>
      <c r="K265" s="3" t="s">
        <v>69</v>
      </c>
      <c r="L265" s="3" t="str">
        <f t="shared" si="28"/>
        <v>Ergonomic Chair</v>
      </c>
      <c r="M265" s="3" t="s">
        <v>79</v>
      </c>
      <c r="N265" s="5">
        <v>3</v>
      </c>
      <c r="O265" s="6">
        <v>139.07</v>
      </c>
      <c r="P265" s="7">
        <v>0.05</v>
      </c>
      <c r="Q265" s="6">
        <v>396.35</v>
      </c>
      <c r="R265" s="6">
        <v>241.98</v>
      </c>
      <c r="S265" s="6">
        <v>154.37</v>
      </c>
      <c r="T265" s="3" t="s">
        <v>54</v>
      </c>
    </row>
    <row r="266" spans="1:20">
      <c r="A266" s="3" t="s">
        <v>355</v>
      </c>
      <c r="B266" s="3" t="str">
        <f t="shared" si="23"/>
        <v>May</v>
      </c>
      <c r="C266" s="3" t="str">
        <f t="shared" si="24"/>
        <v>2025</v>
      </c>
      <c r="D266" s="3" t="str">
        <f t="shared" si="25"/>
        <v>Wednesday</v>
      </c>
      <c r="E266" s="25">
        <v>45784</v>
      </c>
      <c r="F266" s="4" t="str">
        <f t="shared" si="26"/>
        <v>South</v>
      </c>
      <c r="G266" s="3" t="s">
        <v>56</v>
      </c>
      <c r="H266" s="3" t="s">
        <v>57</v>
      </c>
      <c r="I266" s="3" t="str">
        <f t="shared" si="27"/>
        <v>Wholesale</v>
      </c>
      <c r="J266" s="3" t="s">
        <v>45</v>
      </c>
      <c r="K266" s="3" t="s">
        <v>84</v>
      </c>
      <c r="L266" s="3" t="str">
        <f t="shared" si="28"/>
        <v>Notebook Set</v>
      </c>
      <c r="M266" s="3" t="s">
        <v>85</v>
      </c>
      <c r="N266" s="5">
        <v>11</v>
      </c>
      <c r="O266" s="6">
        <v>7.98</v>
      </c>
      <c r="P266" s="7">
        <v>0.1</v>
      </c>
      <c r="Q266" s="6">
        <v>79</v>
      </c>
      <c r="R266" s="6">
        <v>35.11</v>
      </c>
      <c r="S266" s="6">
        <v>43.89</v>
      </c>
      <c r="T266" s="3" t="s">
        <v>54</v>
      </c>
    </row>
    <row r="267" spans="1:20">
      <c r="A267" s="3" t="s">
        <v>356</v>
      </c>
      <c r="B267" s="3" t="str">
        <f t="shared" si="23"/>
        <v>May</v>
      </c>
      <c r="C267" s="3" t="str">
        <f t="shared" si="24"/>
        <v>2026</v>
      </c>
      <c r="D267" s="3" t="str">
        <f t="shared" si="25"/>
        <v>Friday</v>
      </c>
      <c r="E267" s="25">
        <v>46150</v>
      </c>
      <c r="F267" s="4" t="str">
        <f t="shared" si="26"/>
        <v>West</v>
      </c>
      <c r="G267" s="3" t="s">
        <v>67</v>
      </c>
      <c r="H267" s="3" t="s">
        <v>68</v>
      </c>
      <c r="I267" s="3" t="str">
        <f t="shared" si="27"/>
        <v>Corporate</v>
      </c>
      <c r="J267" s="3" t="s">
        <v>72</v>
      </c>
      <c r="K267" s="3" t="s">
        <v>84</v>
      </c>
      <c r="L267" s="3" t="str">
        <f t="shared" si="28"/>
        <v>Notebook Set</v>
      </c>
      <c r="M267" s="3" t="s">
        <v>85</v>
      </c>
      <c r="N267" s="5">
        <v>3</v>
      </c>
      <c r="O267" s="6">
        <v>9.2799999999999994</v>
      </c>
      <c r="P267" s="7">
        <v>0.05</v>
      </c>
      <c r="Q267" s="6">
        <v>26.45</v>
      </c>
      <c r="R267" s="6">
        <v>11.14</v>
      </c>
      <c r="S267" s="6">
        <v>15.31</v>
      </c>
      <c r="T267" s="3" t="s">
        <v>65</v>
      </c>
    </row>
    <row r="268" spans="1:20">
      <c r="A268" s="3" t="s">
        <v>357</v>
      </c>
      <c r="B268" s="3" t="str">
        <f t="shared" si="23"/>
        <v>Nov</v>
      </c>
      <c r="C268" s="3" t="str">
        <f t="shared" si="24"/>
        <v>2025</v>
      </c>
      <c r="D268" s="3" t="str">
        <f t="shared" si="25"/>
        <v>Wednesday</v>
      </c>
      <c r="E268" s="25">
        <v>45973</v>
      </c>
      <c r="F268" s="4" t="str">
        <f t="shared" si="26"/>
        <v>Central</v>
      </c>
      <c r="G268" s="3" t="s">
        <v>74</v>
      </c>
      <c r="H268" s="3" t="s">
        <v>44</v>
      </c>
      <c r="I268" s="3" t="str">
        <f t="shared" si="27"/>
        <v>Online</v>
      </c>
      <c r="J268" s="3" t="s">
        <v>58</v>
      </c>
      <c r="K268" s="3" t="s">
        <v>69</v>
      </c>
      <c r="L268" s="3" t="str">
        <f t="shared" si="28"/>
        <v>Standing Desk</v>
      </c>
      <c r="M268" s="3" t="s">
        <v>81</v>
      </c>
      <c r="N268" s="5">
        <v>5</v>
      </c>
      <c r="O268" s="6">
        <v>258.42</v>
      </c>
      <c r="P268" s="7">
        <v>0.15</v>
      </c>
      <c r="Q268" s="6">
        <v>1098.29</v>
      </c>
      <c r="R268" s="6">
        <v>775.26</v>
      </c>
      <c r="S268" s="6">
        <v>323.02999999999997</v>
      </c>
      <c r="T268" s="3" t="s">
        <v>54</v>
      </c>
    </row>
    <row r="269" spans="1:20">
      <c r="A269" s="3" t="s">
        <v>358</v>
      </c>
      <c r="B269" s="3" t="str">
        <f t="shared" si="23"/>
        <v>Sep</v>
      </c>
      <c r="C269" s="3" t="str">
        <f t="shared" si="24"/>
        <v>2026</v>
      </c>
      <c r="D269" s="3" t="str">
        <f t="shared" si="25"/>
        <v>Saturday</v>
      </c>
      <c r="E269" s="25" t="s">
        <v>359</v>
      </c>
      <c r="F269" s="4" t="str">
        <f t="shared" si="26"/>
        <v>South</v>
      </c>
      <c r="G269" s="3" t="s">
        <v>56</v>
      </c>
      <c r="H269" s="3" t="s">
        <v>57</v>
      </c>
      <c r="I269" s="3" t="str">
        <f t="shared" si="27"/>
        <v>Online</v>
      </c>
      <c r="J269" s="3" t="s">
        <v>58</v>
      </c>
      <c r="K269" s="3" t="s">
        <v>52</v>
      </c>
      <c r="L269" s="3" t="str">
        <f t="shared" si="28"/>
        <v>Keyboard Cover</v>
      </c>
      <c r="M269" s="3" t="s">
        <v>59</v>
      </c>
      <c r="N269" s="5">
        <v>10</v>
      </c>
      <c r="O269" s="6">
        <v>10.199999999999999</v>
      </c>
      <c r="P269" s="7">
        <v>0.15</v>
      </c>
      <c r="Q269" s="6">
        <v>86.7</v>
      </c>
      <c r="R269" s="6">
        <v>41.82</v>
      </c>
      <c r="S269" s="6">
        <v>44.88</v>
      </c>
      <c r="T269" s="3" t="s">
        <v>88</v>
      </c>
    </row>
    <row r="270" spans="1:20">
      <c r="A270" s="3" t="s">
        <v>360</v>
      </c>
      <c r="B270" s="3" t="str">
        <f t="shared" si="23"/>
        <v>Mar</v>
      </c>
      <c r="C270" s="3" t="str">
        <f t="shared" si="24"/>
        <v>2025</v>
      </c>
      <c r="D270" s="3" t="str">
        <f t="shared" si="25"/>
        <v>Tuesday</v>
      </c>
      <c r="E270" s="25">
        <v>45741</v>
      </c>
      <c r="F270" s="4" t="str">
        <f t="shared" si="26"/>
        <v>West</v>
      </c>
      <c r="G270" s="3" t="s">
        <v>67</v>
      </c>
      <c r="H270" s="3" t="s">
        <v>68</v>
      </c>
      <c r="I270" s="3" t="str">
        <f t="shared" si="27"/>
        <v>Online</v>
      </c>
      <c r="J270" s="3" t="s">
        <v>58</v>
      </c>
      <c r="K270" s="3" t="s">
        <v>84</v>
      </c>
      <c r="L270" s="3" t="str">
        <f t="shared" si="28"/>
        <v>Notebook Set</v>
      </c>
      <c r="M270" s="3" t="s">
        <v>85</v>
      </c>
      <c r="N270" s="5">
        <v>1</v>
      </c>
      <c r="O270" s="6">
        <v>9.48</v>
      </c>
      <c r="P270" s="7">
        <v>0</v>
      </c>
      <c r="Q270" s="6">
        <v>9.48</v>
      </c>
      <c r="R270" s="6">
        <v>3.79</v>
      </c>
      <c r="S270" s="6">
        <v>5.69</v>
      </c>
      <c r="T270" s="3" t="s">
        <v>63</v>
      </c>
    </row>
    <row r="271" spans="1:20">
      <c r="A271" s="3" t="s">
        <v>361</v>
      </c>
      <c r="B271" s="3" t="str">
        <f t="shared" si="23"/>
        <v>May</v>
      </c>
      <c r="C271" s="3" t="str">
        <f t="shared" si="24"/>
        <v>2026</v>
      </c>
      <c r="D271" s="3" t="str">
        <f t="shared" si="25"/>
        <v>Saturday</v>
      </c>
      <c r="E271" s="25">
        <v>46144</v>
      </c>
      <c r="F271" s="4" t="str">
        <f t="shared" si="26"/>
        <v>Central</v>
      </c>
      <c r="G271" s="3" t="s">
        <v>74</v>
      </c>
      <c r="H271" s="3" t="s">
        <v>44</v>
      </c>
      <c r="I271" s="3" t="str">
        <f t="shared" si="27"/>
        <v>Retail</v>
      </c>
      <c r="J271" s="3" t="s">
        <v>90</v>
      </c>
      <c r="K271" s="3" t="s">
        <v>46</v>
      </c>
      <c r="L271" s="3" t="str">
        <f t="shared" si="28"/>
        <v>Laptop Stand</v>
      </c>
      <c r="M271" s="3" t="s">
        <v>116</v>
      </c>
      <c r="N271" s="5">
        <v>5</v>
      </c>
      <c r="O271" s="6">
        <v>23.68</v>
      </c>
      <c r="P271" s="7">
        <v>0.15</v>
      </c>
      <c r="Q271" s="6">
        <v>100.64</v>
      </c>
      <c r="R271" s="6">
        <v>59.2</v>
      </c>
      <c r="S271" s="6">
        <v>41.44</v>
      </c>
      <c r="T271" s="3" t="s">
        <v>77</v>
      </c>
    </row>
    <row r="272" spans="1:20">
      <c r="A272" s="3" t="s">
        <v>362</v>
      </c>
      <c r="B272" s="3" t="str">
        <f t="shared" si="23"/>
        <v>Apr</v>
      </c>
      <c r="C272" s="3" t="str">
        <f t="shared" si="24"/>
        <v>2025</v>
      </c>
      <c r="D272" s="3" t="str">
        <f t="shared" si="25"/>
        <v>Monday</v>
      </c>
      <c r="E272" s="25">
        <v>45775</v>
      </c>
      <c r="F272" s="4" t="str">
        <f t="shared" si="26"/>
        <v>East</v>
      </c>
      <c r="G272" s="3" t="s">
        <v>61</v>
      </c>
      <c r="H272" s="3" t="s">
        <v>62</v>
      </c>
      <c r="I272" s="3" t="str">
        <f t="shared" si="27"/>
        <v>Retail</v>
      </c>
      <c r="J272" s="3" t="s">
        <v>90</v>
      </c>
      <c r="K272" s="3" t="s">
        <v>84</v>
      </c>
      <c r="L272" s="3" t="str">
        <f t="shared" si="28"/>
        <v>Printer Paper</v>
      </c>
      <c r="M272" s="3" t="s">
        <v>96</v>
      </c>
      <c r="N272" s="5">
        <v>1</v>
      </c>
      <c r="O272" s="6">
        <v>11.95</v>
      </c>
      <c r="P272" s="7">
        <v>0</v>
      </c>
      <c r="Q272" s="6">
        <v>11.95</v>
      </c>
      <c r="R272" s="6">
        <v>4.54</v>
      </c>
      <c r="S272" s="6">
        <v>7.41</v>
      </c>
      <c r="T272" s="3" t="s">
        <v>88</v>
      </c>
    </row>
    <row r="273" spans="1:20">
      <c r="A273" s="3" t="s">
        <v>363</v>
      </c>
      <c r="B273" s="3" t="str">
        <f t="shared" si="23"/>
        <v>Dec</v>
      </c>
      <c r="C273" s="3" t="str">
        <f t="shared" si="24"/>
        <v>2026</v>
      </c>
      <c r="D273" s="3" t="str">
        <f t="shared" si="25"/>
        <v>Wednesday</v>
      </c>
      <c r="E273" s="25">
        <v>46358</v>
      </c>
      <c r="F273" s="4" t="str">
        <f t="shared" si="26"/>
        <v>East</v>
      </c>
      <c r="G273" s="3" t="s">
        <v>61</v>
      </c>
      <c r="H273" s="3" t="s">
        <v>62</v>
      </c>
      <c r="I273" s="3" t="str">
        <f t="shared" si="27"/>
        <v>Wholesale</v>
      </c>
      <c r="J273" s="3" t="s">
        <v>45</v>
      </c>
      <c r="K273" s="3" t="s">
        <v>69</v>
      </c>
      <c r="L273" s="3" t="str">
        <f t="shared" si="28"/>
        <v>Bookshelf</v>
      </c>
      <c r="M273" s="3" t="s">
        <v>70</v>
      </c>
      <c r="N273" s="5">
        <v>12</v>
      </c>
      <c r="O273" s="6">
        <v>95.43</v>
      </c>
      <c r="P273" s="7">
        <v>0.1</v>
      </c>
      <c r="Q273" s="6">
        <v>1030.6400000000001</v>
      </c>
      <c r="R273" s="6">
        <v>595.48</v>
      </c>
      <c r="S273" s="6">
        <v>435.16</v>
      </c>
      <c r="T273" s="3" t="s">
        <v>48</v>
      </c>
    </row>
    <row r="274" spans="1:20">
      <c r="A274" s="3" t="s">
        <v>364</v>
      </c>
      <c r="B274" s="3" t="str">
        <f t="shared" si="23"/>
        <v>Jan</v>
      </c>
      <c r="C274" s="3" t="str">
        <f t="shared" si="24"/>
        <v>2025</v>
      </c>
      <c r="D274" s="3" t="str">
        <f t="shared" si="25"/>
        <v>Wednesday</v>
      </c>
      <c r="E274" s="25">
        <v>45665</v>
      </c>
      <c r="F274" s="4" t="str">
        <f t="shared" si="26"/>
        <v>North</v>
      </c>
      <c r="G274" s="3" t="s">
        <v>50</v>
      </c>
      <c r="H274" s="3" t="s">
        <v>51</v>
      </c>
      <c r="I274" s="3" t="str">
        <f t="shared" si="27"/>
        <v>Online</v>
      </c>
      <c r="J274" s="3" t="s">
        <v>58</v>
      </c>
      <c r="K274" s="3" t="s">
        <v>46</v>
      </c>
      <c r="L274" s="3" t="str">
        <f t="shared" si="28"/>
        <v>Wireless Mouse</v>
      </c>
      <c r="M274" s="3" t="s">
        <v>75</v>
      </c>
      <c r="N274" s="5">
        <v>8</v>
      </c>
      <c r="O274" s="6">
        <v>18.02</v>
      </c>
      <c r="P274" s="7">
        <v>0.15</v>
      </c>
      <c r="Q274" s="6">
        <v>122.54</v>
      </c>
      <c r="R274" s="6">
        <v>69.2</v>
      </c>
      <c r="S274" s="6">
        <v>53.34</v>
      </c>
      <c r="T274" s="3" t="s">
        <v>88</v>
      </c>
    </row>
    <row r="275" spans="1:20">
      <c r="A275" s="3" t="s">
        <v>365</v>
      </c>
      <c r="B275" s="3" t="str">
        <f t="shared" si="23"/>
        <v>Jan</v>
      </c>
      <c r="C275" s="3" t="str">
        <f t="shared" si="24"/>
        <v>2026</v>
      </c>
      <c r="D275" s="3" t="str">
        <f t="shared" si="25"/>
        <v>Sunday</v>
      </c>
      <c r="E275" s="25">
        <v>46033</v>
      </c>
      <c r="F275" s="4" t="str">
        <f t="shared" si="26"/>
        <v>East</v>
      </c>
      <c r="G275" s="3" t="s">
        <v>61</v>
      </c>
      <c r="H275" s="3" t="s">
        <v>62</v>
      </c>
      <c r="I275" s="3" t="str">
        <f t="shared" si="27"/>
        <v>Retail</v>
      </c>
      <c r="J275" s="3" t="s">
        <v>90</v>
      </c>
      <c r="K275" s="3" t="s">
        <v>84</v>
      </c>
      <c r="L275" s="3" t="str">
        <f t="shared" si="28"/>
        <v>Notebook Set</v>
      </c>
      <c r="M275" s="3" t="s">
        <v>85</v>
      </c>
      <c r="N275" s="5">
        <v>8</v>
      </c>
      <c r="O275" s="6">
        <v>6.91</v>
      </c>
      <c r="P275" s="7">
        <v>0.1</v>
      </c>
      <c r="Q275" s="6">
        <v>49.75</v>
      </c>
      <c r="R275" s="6">
        <v>22.11</v>
      </c>
      <c r="S275" s="6">
        <v>27.64</v>
      </c>
      <c r="T275" s="3" t="s">
        <v>65</v>
      </c>
    </row>
    <row r="276" spans="1:20">
      <c r="A276" s="3" t="s">
        <v>366</v>
      </c>
      <c r="B276" s="3" t="str">
        <f t="shared" si="23"/>
        <v>Oct</v>
      </c>
      <c r="C276" s="3" t="str">
        <f t="shared" si="24"/>
        <v>2025</v>
      </c>
      <c r="D276" s="3" t="str">
        <f t="shared" si="25"/>
        <v>Monday</v>
      </c>
      <c r="E276" s="25">
        <v>45943</v>
      </c>
      <c r="F276" s="4" t="str">
        <f t="shared" si="26"/>
        <v>South</v>
      </c>
      <c r="G276" s="3" t="s">
        <v>56</v>
      </c>
      <c r="H276" s="3" t="s">
        <v>57</v>
      </c>
      <c r="I276" s="3" t="str">
        <f t="shared" si="27"/>
        <v>Wholesale</v>
      </c>
      <c r="J276" s="3" t="s">
        <v>45</v>
      </c>
      <c r="K276" s="3" t="s">
        <v>69</v>
      </c>
      <c r="L276" s="3" t="str">
        <f t="shared" si="28"/>
        <v>Ergonomic Chair</v>
      </c>
      <c r="M276" s="3" t="s">
        <v>79</v>
      </c>
      <c r="N276" s="5">
        <v>5</v>
      </c>
      <c r="O276" s="6">
        <v>139.38999999999999</v>
      </c>
      <c r="P276" s="7">
        <v>0.15</v>
      </c>
      <c r="Q276" s="6">
        <v>592.41</v>
      </c>
      <c r="R276" s="6">
        <v>404.23</v>
      </c>
      <c r="S276" s="6">
        <v>188.18</v>
      </c>
      <c r="T276" s="3" t="s">
        <v>65</v>
      </c>
    </row>
    <row r="277" spans="1:20">
      <c r="A277" s="3" t="s">
        <v>367</v>
      </c>
      <c r="B277" s="3" t="str">
        <f t="shared" si="23"/>
        <v>Dec</v>
      </c>
      <c r="C277" s="3" t="str">
        <f t="shared" si="24"/>
        <v>2026</v>
      </c>
      <c r="D277" s="3" t="str">
        <f t="shared" si="25"/>
        <v>Tuesday</v>
      </c>
      <c r="E277" s="25">
        <v>46357</v>
      </c>
      <c r="F277" s="4" t="str">
        <f t="shared" si="26"/>
        <v>South</v>
      </c>
      <c r="G277" s="3" t="s">
        <v>56</v>
      </c>
      <c r="H277" s="3" t="s">
        <v>57</v>
      </c>
      <c r="I277" s="3" t="str">
        <f t="shared" si="27"/>
        <v>Corporate</v>
      </c>
      <c r="J277" s="3" t="s">
        <v>72</v>
      </c>
      <c r="K277" s="3" t="s">
        <v>69</v>
      </c>
      <c r="L277" s="3" t="str">
        <f t="shared" si="28"/>
        <v>Bookshelf</v>
      </c>
      <c r="M277" s="3" t="s">
        <v>70</v>
      </c>
      <c r="N277" s="5">
        <v>12</v>
      </c>
      <c r="O277" s="6">
        <v>96.74</v>
      </c>
      <c r="P277" s="7">
        <v>0.1</v>
      </c>
      <c r="Q277" s="6">
        <v>1044.79</v>
      </c>
      <c r="R277" s="6">
        <v>603.66</v>
      </c>
      <c r="S277" s="6">
        <v>441.13</v>
      </c>
      <c r="T277" s="3" t="s">
        <v>88</v>
      </c>
    </row>
    <row r="278" spans="1:20">
      <c r="A278" s="3" t="s">
        <v>368</v>
      </c>
      <c r="B278" s="3" t="str">
        <f t="shared" si="23"/>
        <v>Nov</v>
      </c>
      <c r="C278" s="3" t="str">
        <f t="shared" si="24"/>
        <v>2025</v>
      </c>
      <c r="D278" s="3" t="str">
        <f t="shared" si="25"/>
        <v>Thursday</v>
      </c>
      <c r="E278" s="25">
        <v>45974</v>
      </c>
      <c r="F278" s="4" t="str">
        <f t="shared" si="26"/>
        <v>South</v>
      </c>
      <c r="G278" s="3" t="s">
        <v>56</v>
      </c>
      <c r="H278" s="3" t="s">
        <v>57</v>
      </c>
      <c r="I278" s="3" t="str">
        <f t="shared" si="27"/>
        <v>Corporate</v>
      </c>
      <c r="J278" s="3" t="s">
        <v>72</v>
      </c>
      <c r="K278" s="3" t="s">
        <v>84</v>
      </c>
      <c r="L278" s="3" t="str">
        <f t="shared" si="28"/>
        <v>Printer Paper</v>
      </c>
      <c r="M278" s="3" t="s">
        <v>96</v>
      </c>
      <c r="N278" s="5">
        <v>2</v>
      </c>
      <c r="O278" s="6">
        <v>11.72</v>
      </c>
      <c r="P278" s="7">
        <v>0.05</v>
      </c>
      <c r="Q278" s="6">
        <v>22.27</v>
      </c>
      <c r="R278" s="6">
        <v>8.91</v>
      </c>
      <c r="S278" s="6">
        <v>13.36</v>
      </c>
      <c r="T278" s="3" t="s">
        <v>65</v>
      </c>
    </row>
    <row r="279" spans="1:20">
      <c r="A279" s="3" t="s">
        <v>369</v>
      </c>
      <c r="B279" s="3" t="str">
        <f t="shared" si="23"/>
        <v>Mar</v>
      </c>
      <c r="C279" s="3" t="str">
        <f t="shared" si="24"/>
        <v>2026</v>
      </c>
      <c r="D279" s="3" t="str">
        <f t="shared" si="25"/>
        <v>Sunday</v>
      </c>
      <c r="E279" s="25">
        <v>46103</v>
      </c>
      <c r="F279" s="4" t="str">
        <f t="shared" si="26"/>
        <v>Central</v>
      </c>
      <c r="G279" s="3" t="s">
        <v>74</v>
      </c>
      <c r="H279" s="3" t="s">
        <v>44</v>
      </c>
      <c r="I279" s="3" t="str">
        <f t="shared" si="27"/>
        <v>Corporate</v>
      </c>
      <c r="J279" s="3" t="s">
        <v>72</v>
      </c>
      <c r="K279" s="3" t="s">
        <v>69</v>
      </c>
      <c r="L279" s="3" t="str">
        <f t="shared" si="28"/>
        <v>Bookshelf</v>
      </c>
      <c r="M279" s="3" t="s">
        <v>70</v>
      </c>
      <c r="N279" s="5">
        <v>3</v>
      </c>
      <c r="O279" s="6">
        <v>95.04</v>
      </c>
      <c r="P279" s="7">
        <v>0.05</v>
      </c>
      <c r="Q279" s="6">
        <v>270.86</v>
      </c>
      <c r="R279" s="6">
        <v>148.26</v>
      </c>
      <c r="S279" s="6">
        <v>122.6</v>
      </c>
      <c r="T279" s="3" t="s">
        <v>54</v>
      </c>
    </row>
    <row r="280" spans="1:20">
      <c r="A280" s="3" t="s">
        <v>370</v>
      </c>
      <c r="B280" s="3" t="str">
        <f t="shared" si="23"/>
        <v>Dec</v>
      </c>
      <c r="C280" s="3" t="str">
        <f t="shared" si="24"/>
        <v>2025</v>
      </c>
      <c r="D280" s="3" t="str">
        <f t="shared" si="25"/>
        <v>Friday</v>
      </c>
      <c r="E280" s="25">
        <v>45996</v>
      </c>
      <c r="F280" s="4" t="str">
        <f t="shared" si="26"/>
        <v>Central</v>
      </c>
      <c r="G280" s="3" t="s">
        <v>74</v>
      </c>
      <c r="H280" s="3" t="s">
        <v>44</v>
      </c>
      <c r="I280" s="3" t="str">
        <f t="shared" si="27"/>
        <v>Wholesale</v>
      </c>
      <c r="J280" s="3" t="s">
        <v>45</v>
      </c>
      <c r="K280" s="3" t="s">
        <v>69</v>
      </c>
      <c r="L280" s="3" t="str">
        <f t="shared" si="28"/>
        <v>Bookshelf</v>
      </c>
      <c r="M280" s="3" t="s">
        <v>70</v>
      </c>
      <c r="N280" s="5">
        <v>11</v>
      </c>
      <c r="O280" s="6">
        <v>96.33</v>
      </c>
      <c r="P280" s="7">
        <v>0.15</v>
      </c>
      <c r="Q280" s="6">
        <v>900.69</v>
      </c>
      <c r="R280" s="6">
        <v>551.01</v>
      </c>
      <c r="S280" s="6">
        <v>349.68</v>
      </c>
      <c r="T280" s="3" t="s">
        <v>88</v>
      </c>
    </row>
    <row r="281" spans="1:20">
      <c r="A281" s="3" t="s">
        <v>371</v>
      </c>
      <c r="B281" s="3" t="str">
        <f t="shared" si="23"/>
        <v>Dec</v>
      </c>
      <c r="C281" s="3" t="str">
        <f t="shared" si="24"/>
        <v>2026</v>
      </c>
      <c r="D281" s="3" t="str">
        <f t="shared" si="25"/>
        <v>Monday</v>
      </c>
      <c r="E281" s="25">
        <v>46363</v>
      </c>
      <c r="F281" s="4" t="str">
        <f t="shared" si="26"/>
        <v>Central</v>
      </c>
      <c r="G281" s="3" t="s">
        <v>74</v>
      </c>
      <c r="H281" s="3" t="s">
        <v>44</v>
      </c>
      <c r="I281" s="3" t="str">
        <f t="shared" si="27"/>
        <v>Online</v>
      </c>
      <c r="J281" s="3" t="s">
        <v>58</v>
      </c>
      <c r="K281" s="3" t="s">
        <v>46</v>
      </c>
      <c r="L281" s="3" t="str">
        <f t="shared" si="28"/>
        <v>Wireless Mouse</v>
      </c>
      <c r="M281" s="3" t="s">
        <v>75</v>
      </c>
      <c r="N281" s="5">
        <v>4</v>
      </c>
      <c r="O281" s="6">
        <v>18.39</v>
      </c>
      <c r="P281" s="7">
        <v>0.1</v>
      </c>
      <c r="Q281" s="6">
        <v>66.2</v>
      </c>
      <c r="R281" s="6">
        <v>35.31</v>
      </c>
      <c r="S281" s="6">
        <v>30.89</v>
      </c>
      <c r="T281" s="3" t="s">
        <v>77</v>
      </c>
    </row>
    <row r="282" spans="1:20">
      <c r="A282" s="3" t="s">
        <v>372</v>
      </c>
      <c r="B282" s="3" t="str">
        <f t="shared" si="23"/>
        <v>Dec</v>
      </c>
      <c r="C282" s="3" t="str">
        <f t="shared" si="24"/>
        <v>2025</v>
      </c>
      <c r="D282" s="3" t="str">
        <f t="shared" si="25"/>
        <v>Saturday</v>
      </c>
      <c r="E282" s="25">
        <v>46004</v>
      </c>
      <c r="F282" s="4" t="str">
        <f t="shared" si="26"/>
        <v>North</v>
      </c>
      <c r="G282" s="3" t="s">
        <v>50</v>
      </c>
      <c r="H282" s="3" t="s">
        <v>51</v>
      </c>
      <c r="I282" s="3" t="str">
        <f t="shared" si="27"/>
        <v>Wholesale</v>
      </c>
      <c r="J282" s="3" t="s">
        <v>45</v>
      </c>
      <c r="K282" s="3" t="s">
        <v>52</v>
      </c>
      <c r="L282" s="3" t="str">
        <f t="shared" si="28"/>
        <v>Water Bottle</v>
      </c>
      <c r="M282" s="3" t="s">
        <v>53</v>
      </c>
      <c r="N282" s="5">
        <v>11</v>
      </c>
      <c r="O282" s="6">
        <v>11.05</v>
      </c>
      <c r="P282" s="7">
        <v>0.05</v>
      </c>
      <c r="Q282" s="6">
        <v>115.47</v>
      </c>
      <c r="R282" s="6">
        <v>52.27</v>
      </c>
      <c r="S282" s="6">
        <v>63.2</v>
      </c>
      <c r="T282" s="3" t="s">
        <v>65</v>
      </c>
    </row>
    <row r="283" spans="1:20">
      <c r="A283" s="3" t="s">
        <v>373</v>
      </c>
      <c r="B283" s="3" t="str">
        <f t="shared" si="23"/>
        <v>Jul</v>
      </c>
      <c r="C283" s="3" t="str">
        <f t="shared" si="24"/>
        <v>2026</v>
      </c>
      <c r="D283" s="3" t="str">
        <f t="shared" si="25"/>
        <v>Tuesday</v>
      </c>
      <c r="E283" s="25">
        <v>46217</v>
      </c>
      <c r="F283" s="4" t="str">
        <f t="shared" si="26"/>
        <v>West</v>
      </c>
      <c r="G283" s="3" t="s">
        <v>67</v>
      </c>
      <c r="H283" s="3" t="s">
        <v>68</v>
      </c>
      <c r="I283" s="3" t="str">
        <f t="shared" si="27"/>
        <v>Retail</v>
      </c>
      <c r="J283" s="3" t="s">
        <v>90</v>
      </c>
      <c r="K283" s="3" t="s">
        <v>84</v>
      </c>
      <c r="L283" s="3" t="str">
        <f t="shared" si="28"/>
        <v>Notebook Set</v>
      </c>
      <c r="M283" s="3" t="s">
        <v>85</v>
      </c>
      <c r="N283" s="5">
        <v>5</v>
      </c>
      <c r="O283" s="6">
        <v>9.83</v>
      </c>
      <c r="P283" s="7">
        <v>0.15</v>
      </c>
      <c r="Q283" s="6">
        <v>41.78</v>
      </c>
      <c r="R283" s="6">
        <v>19.66</v>
      </c>
      <c r="S283" s="6">
        <v>22.12</v>
      </c>
      <c r="T283" s="3" t="s">
        <v>77</v>
      </c>
    </row>
    <row r="284" spans="1:20">
      <c r="A284" s="3" t="s">
        <v>374</v>
      </c>
      <c r="B284" s="3" t="str">
        <f t="shared" si="23"/>
        <v>Feb</v>
      </c>
      <c r="C284" s="3" t="str">
        <f t="shared" si="24"/>
        <v>2025</v>
      </c>
      <c r="D284" s="3" t="str">
        <f t="shared" si="25"/>
        <v>Wednesday</v>
      </c>
      <c r="E284" s="25">
        <v>45714</v>
      </c>
      <c r="F284" s="4" t="str">
        <f t="shared" si="26"/>
        <v>South</v>
      </c>
      <c r="G284" s="3" t="s">
        <v>56</v>
      </c>
      <c r="H284" s="3" t="s">
        <v>57</v>
      </c>
      <c r="I284" s="3" t="str">
        <f t="shared" si="27"/>
        <v>Corporate</v>
      </c>
      <c r="J284" s="3" t="s">
        <v>72</v>
      </c>
      <c r="K284" s="3" t="s">
        <v>69</v>
      </c>
      <c r="L284" s="3" t="str">
        <f t="shared" si="28"/>
        <v>Bookshelf</v>
      </c>
      <c r="M284" s="3" t="s">
        <v>375</v>
      </c>
      <c r="N284" s="5">
        <v>12</v>
      </c>
      <c r="O284" s="6">
        <v>95.25</v>
      </c>
      <c r="P284" s="7">
        <v>0.15</v>
      </c>
      <c r="Q284" s="6">
        <v>971.55</v>
      </c>
      <c r="R284" s="6">
        <v>594.36</v>
      </c>
      <c r="S284" s="6">
        <v>377.19</v>
      </c>
      <c r="T284" s="3" t="s">
        <v>88</v>
      </c>
    </row>
    <row r="285" spans="1:20">
      <c r="A285" s="3" t="s">
        <v>376</v>
      </c>
      <c r="B285" s="3" t="str">
        <f t="shared" si="23"/>
        <v>Sep</v>
      </c>
      <c r="C285" s="3" t="str">
        <f t="shared" si="24"/>
        <v>2026</v>
      </c>
      <c r="D285" s="3" t="str">
        <f t="shared" si="25"/>
        <v>Saturday</v>
      </c>
      <c r="E285" s="25">
        <v>46284</v>
      </c>
      <c r="F285" s="4" t="str">
        <f t="shared" si="26"/>
        <v>West</v>
      </c>
      <c r="G285" s="3" t="s">
        <v>67</v>
      </c>
      <c r="H285" s="3" t="s">
        <v>68</v>
      </c>
      <c r="I285" s="3" t="str">
        <f t="shared" si="27"/>
        <v>Online</v>
      </c>
      <c r="J285" s="3" t="s">
        <v>58</v>
      </c>
      <c r="K285" s="3" t="s">
        <v>69</v>
      </c>
      <c r="L285" s="3" t="str">
        <f t="shared" si="28"/>
        <v>Standing Desk</v>
      </c>
      <c r="M285" s="3" t="s">
        <v>81</v>
      </c>
      <c r="N285" s="5">
        <v>6</v>
      </c>
      <c r="O285" s="6">
        <v>260.33999999999997</v>
      </c>
      <c r="P285" s="7">
        <v>0.15</v>
      </c>
      <c r="Q285" s="6">
        <v>1327.73</v>
      </c>
      <c r="R285" s="6">
        <v>937.22</v>
      </c>
      <c r="S285" s="6">
        <v>390.51</v>
      </c>
      <c r="T285" s="3" t="s">
        <v>77</v>
      </c>
    </row>
    <row r="286" spans="1:20">
      <c r="A286" s="3" t="s">
        <v>377</v>
      </c>
      <c r="B286" s="3" t="str">
        <f t="shared" si="23"/>
        <v>Dec</v>
      </c>
      <c r="C286" s="3" t="str">
        <f t="shared" si="24"/>
        <v>2025</v>
      </c>
      <c r="D286" s="3" t="str">
        <f t="shared" si="25"/>
        <v>Wednesday</v>
      </c>
      <c r="E286" s="25">
        <v>45994</v>
      </c>
      <c r="F286" s="4" t="str">
        <f t="shared" si="26"/>
        <v>East</v>
      </c>
      <c r="G286" s="3" t="s">
        <v>61</v>
      </c>
      <c r="H286" s="3" t="s">
        <v>62</v>
      </c>
      <c r="I286" s="3" t="str">
        <f t="shared" si="27"/>
        <v>Wholesale</v>
      </c>
      <c r="J286" s="3" t="s">
        <v>45</v>
      </c>
      <c r="K286" s="3" t="s">
        <v>52</v>
      </c>
      <c r="L286" s="3" t="str">
        <f t="shared" si="28"/>
        <v>Laptop Sleeve</v>
      </c>
      <c r="M286" s="3" t="s">
        <v>91</v>
      </c>
      <c r="N286" s="5">
        <v>9</v>
      </c>
      <c r="O286" s="6">
        <v>18.98</v>
      </c>
      <c r="P286" s="7">
        <v>0</v>
      </c>
      <c r="Q286" s="6">
        <v>170.82</v>
      </c>
      <c r="R286" s="6">
        <v>83.7</v>
      </c>
      <c r="S286" s="6">
        <v>87.12</v>
      </c>
      <c r="T286" s="3" t="s">
        <v>88</v>
      </c>
    </row>
    <row r="287" spans="1:20">
      <c r="A287" s="3" t="s">
        <v>378</v>
      </c>
      <c r="B287" s="3" t="str">
        <f t="shared" si="23"/>
        <v>Feb</v>
      </c>
      <c r="C287" s="3" t="str">
        <f t="shared" si="24"/>
        <v>2026</v>
      </c>
      <c r="D287" s="3" t="str">
        <f t="shared" si="25"/>
        <v>Saturday</v>
      </c>
      <c r="E287" s="25">
        <v>46060</v>
      </c>
      <c r="F287" s="4" t="str">
        <f t="shared" si="26"/>
        <v>North</v>
      </c>
      <c r="G287" s="3" t="s">
        <v>50</v>
      </c>
      <c r="H287" s="3" t="s">
        <v>51</v>
      </c>
      <c r="I287" s="3" t="str">
        <f t="shared" si="27"/>
        <v>Wholesale</v>
      </c>
      <c r="J287" s="3" t="s">
        <v>45</v>
      </c>
      <c r="K287" s="3" t="s">
        <v>84</v>
      </c>
      <c r="L287" s="3" t="str">
        <f t="shared" si="28"/>
        <v>Printer Paper</v>
      </c>
      <c r="M287" s="3" t="s">
        <v>96</v>
      </c>
      <c r="N287" s="5">
        <v>10</v>
      </c>
      <c r="O287" s="6">
        <v>12.86</v>
      </c>
      <c r="P287" s="7">
        <v>0.15</v>
      </c>
      <c r="Q287" s="6">
        <v>109.31</v>
      </c>
      <c r="R287" s="6">
        <v>48.87</v>
      </c>
      <c r="S287" s="6">
        <v>60.44</v>
      </c>
      <c r="T287" s="3" t="s">
        <v>48</v>
      </c>
    </row>
    <row r="288" spans="1:20">
      <c r="A288" s="3" t="s">
        <v>379</v>
      </c>
      <c r="B288" s="3" t="str">
        <f t="shared" si="23"/>
        <v>Apr</v>
      </c>
      <c r="C288" s="3" t="str">
        <f t="shared" si="24"/>
        <v>2025</v>
      </c>
      <c r="D288" s="3" t="str">
        <f t="shared" si="25"/>
        <v>Tuesday</v>
      </c>
      <c r="E288" s="25">
        <v>45748</v>
      </c>
      <c r="F288" s="4" t="str">
        <f t="shared" si="26"/>
        <v>North</v>
      </c>
      <c r="G288" s="3" t="s">
        <v>50</v>
      </c>
      <c r="H288" s="3" t="s">
        <v>51</v>
      </c>
      <c r="I288" s="3" t="str">
        <f t="shared" si="27"/>
        <v>Retail</v>
      </c>
      <c r="J288" s="3" t="s">
        <v>90</v>
      </c>
      <c r="K288" s="3" t="s">
        <v>84</v>
      </c>
      <c r="L288" s="3" t="str">
        <f t="shared" si="28"/>
        <v>Printer Paper</v>
      </c>
      <c r="M288" s="3" t="s">
        <v>96</v>
      </c>
      <c r="N288" s="5">
        <v>8</v>
      </c>
      <c r="O288" s="6">
        <v>12.89</v>
      </c>
      <c r="P288" s="7">
        <v>0.05</v>
      </c>
      <c r="Q288" s="6">
        <v>97.96</v>
      </c>
      <c r="R288" s="6">
        <v>39.19</v>
      </c>
      <c r="S288" s="6">
        <v>58.77</v>
      </c>
      <c r="T288" s="3" t="s">
        <v>88</v>
      </c>
    </row>
    <row r="289" spans="1:20">
      <c r="A289" s="3" t="s">
        <v>380</v>
      </c>
      <c r="B289" s="3" t="str">
        <f t="shared" si="23"/>
        <v>Apr</v>
      </c>
      <c r="C289" s="3" t="str">
        <f t="shared" si="24"/>
        <v>2026</v>
      </c>
      <c r="D289" s="3" t="str">
        <f t="shared" si="25"/>
        <v>Tuesday</v>
      </c>
      <c r="E289" s="25">
        <v>46133</v>
      </c>
      <c r="F289" s="4" t="str">
        <f t="shared" si="26"/>
        <v>East</v>
      </c>
      <c r="G289" s="3" t="s">
        <v>381</v>
      </c>
      <c r="H289" s="3" t="s">
        <v>62</v>
      </c>
      <c r="I289" s="3" t="str">
        <f t="shared" si="27"/>
        <v>Online</v>
      </c>
      <c r="J289" s="3" t="s">
        <v>58</v>
      </c>
      <c r="K289" s="3" t="s">
        <v>69</v>
      </c>
      <c r="L289" s="3" t="str">
        <f t="shared" si="28"/>
        <v>Standing Desk</v>
      </c>
      <c r="M289" s="3" t="s">
        <v>81</v>
      </c>
      <c r="N289" s="5">
        <v>1</v>
      </c>
      <c r="O289" s="6">
        <v>258.42</v>
      </c>
      <c r="P289" s="7">
        <v>0</v>
      </c>
      <c r="Q289" s="6">
        <v>258.42</v>
      </c>
      <c r="R289" s="6">
        <v>155.05000000000001</v>
      </c>
      <c r="S289" s="6">
        <v>103.37</v>
      </c>
      <c r="T289" s="3" t="s">
        <v>88</v>
      </c>
    </row>
    <row r="290" spans="1:20">
      <c r="A290" s="3" t="s">
        <v>382</v>
      </c>
      <c r="B290" s="3" t="str">
        <f t="shared" si="23"/>
        <v>Jun</v>
      </c>
      <c r="C290" s="3" t="str">
        <f t="shared" si="24"/>
        <v>2025</v>
      </c>
      <c r="D290" s="3" t="str">
        <f t="shared" si="25"/>
        <v>Thursday</v>
      </c>
      <c r="E290" s="25">
        <v>45813</v>
      </c>
      <c r="F290" s="4" t="str">
        <f t="shared" si="26"/>
        <v>West</v>
      </c>
      <c r="G290" s="3" t="s">
        <v>67</v>
      </c>
      <c r="H290" s="3" t="s">
        <v>68</v>
      </c>
      <c r="I290" s="3" t="str">
        <f t="shared" si="27"/>
        <v>Online</v>
      </c>
      <c r="J290" s="3" t="s">
        <v>58</v>
      </c>
      <c r="K290" s="3" t="s">
        <v>69</v>
      </c>
      <c r="L290" s="3" t="str">
        <f t="shared" si="28"/>
        <v>Ergonomic Chair</v>
      </c>
      <c r="M290" s="3" t="s">
        <v>79</v>
      </c>
      <c r="N290" s="5">
        <v>1</v>
      </c>
      <c r="O290" s="6">
        <v>141.82</v>
      </c>
      <c r="P290" s="7">
        <v>0.1</v>
      </c>
      <c r="Q290" s="6">
        <v>127.64</v>
      </c>
      <c r="R290" s="6">
        <v>82.26</v>
      </c>
      <c r="S290" s="6">
        <v>45.38</v>
      </c>
      <c r="T290" s="3" t="s">
        <v>65</v>
      </c>
    </row>
    <row r="291" spans="1:20">
      <c r="A291" s="3" t="s">
        <v>383</v>
      </c>
      <c r="B291" s="3" t="str">
        <f t="shared" si="23"/>
        <v>Feb</v>
      </c>
      <c r="C291" s="3" t="str">
        <f t="shared" si="24"/>
        <v>2026</v>
      </c>
      <c r="D291" s="3" t="str">
        <f t="shared" si="25"/>
        <v>Sunday</v>
      </c>
      <c r="E291" s="25">
        <v>46075</v>
      </c>
      <c r="F291" s="4" t="str">
        <f t="shared" si="26"/>
        <v>South</v>
      </c>
      <c r="G291" s="3" t="s">
        <v>56</v>
      </c>
      <c r="H291" s="3" t="s">
        <v>57</v>
      </c>
      <c r="I291" s="3" t="str">
        <f t="shared" si="27"/>
        <v>Online</v>
      </c>
      <c r="J291" s="3" t="s">
        <v>58</v>
      </c>
      <c r="K291" s="3" t="s">
        <v>84</v>
      </c>
      <c r="L291" s="3" t="str">
        <f t="shared" si="28"/>
        <v>Notebook Set</v>
      </c>
      <c r="M291" s="3" t="s">
        <v>85</v>
      </c>
      <c r="N291" s="5">
        <v>3</v>
      </c>
      <c r="O291" s="6">
        <v>8.4</v>
      </c>
      <c r="P291" s="7">
        <v>0.1</v>
      </c>
      <c r="Q291" s="6">
        <v>22.68</v>
      </c>
      <c r="R291" s="6">
        <v>10.08</v>
      </c>
      <c r="S291" s="6">
        <v>12.6</v>
      </c>
      <c r="T291" s="3" t="s">
        <v>63</v>
      </c>
    </row>
    <row r="292" spans="1:20">
      <c r="A292" s="3" t="s">
        <v>384</v>
      </c>
      <c r="B292" s="3" t="str">
        <f t="shared" si="23"/>
        <v>Nov</v>
      </c>
      <c r="C292" s="3" t="str">
        <f t="shared" si="24"/>
        <v>2025</v>
      </c>
      <c r="D292" s="3" t="str">
        <f t="shared" si="25"/>
        <v>Sunday</v>
      </c>
      <c r="E292" s="25">
        <v>45977</v>
      </c>
      <c r="F292" s="4" t="str">
        <f t="shared" si="26"/>
        <v>East</v>
      </c>
      <c r="G292" s="3" t="s">
        <v>61</v>
      </c>
      <c r="H292" s="3" t="s">
        <v>62</v>
      </c>
      <c r="I292" s="3" t="str">
        <f t="shared" si="27"/>
        <v>Corporate</v>
      </c>
      <c r="J292" s="3" t="s">
        <v>72</v>
      </c>
      <c r="K292" s="3" t="s">
        <v>46</v>
      </c>
      <c r="L292" s="3" t="str">
        <f t="shared" si="28"/>
        <v>Laptop Stand</v>
      </c>
      <c r="M292" s="3" t="s">
        <v>116</v>
      </c>
      <c r="N292" s="5">
        <v>4</v>
      </c>
      <c r="O292" s="6">
        <v>22.8</v>
      </c>
      <c r="P292" s="7">
        <v>0.15</v>
      </c>
      <c r="Q292" s="6">
        <v>77.52</v>
      </c>
      <c r="R292" s="6">
        <v>45.6</v>
      </c>
      <c r="S292" s="6">
        <v>31.92</v>
      </c>
      <c r="T292" s="3" t="s">
        <v>63</v>
      </c>
    </row>
    <row r="293" spans="1:20">
      <c r="A293" s="3" t="s">
        <v>385</v>
      </c>
      <c r="B293" s="3" t="str">
        <f t="shared" si="23"/>
        <v>Aug</v>
      </c>
      <c r="C293" s="3" t="str">
        <f t="shared" si="24"/>
        <v>2026</v>
      </c>
      <c r="D293" s="3" t="str">
        <f t="shared" si="25"/>
        <v>Monday</v>
      </c>
      <c r="E293" s="25">
        <v>46237</v>
      </c>
      <c r="F293" s="4" t="str">
        <f t="shared" si="26"/>
        <v>North</v>
      </c>
      <c r="G293" s="3" t="s">
        <v>50</v>
      </c>
      <c r="H293" s="3" t="s">
        <v>51</v>
      </c>
      <c r="I293" s="3" t="str">
        <f t="shared" si="27"/>
        <v>Retail</v>
      </c>
      <c r="J293" s="3" t="s">
        <v>90</v>
      </c>
      <c r="K293" s="3" t="s">
        <v>69</v>
      </c>
      <c r="L293" s="3" t="str">
        <f t="shared" si="28"/>
        <v>Standing Desk</v>
      </c>
      <c r="M293" s="3" t="s">
        <v>81</v>
      </c>
      <c r="N293" s="5">
        <v>1</v>
      </c>
      <c r="O293" s="6">
        <v>259.91000000000003</v>
      </c>
      <c r="P293" s="7">
        <v>0.15</v>
      </c>
      <c r="Q293" s="6">
        <v>220.92</v>
      </c>
      <c r="R293" s="6">
        <v>155.94999999999999</v>
      </c>
      <c r="S293" s="6">
        <v>64.97</v>
      </c>
      <c r="T293" s="3" t="s">
        <v>63</v>
      </c>
    </row>
    <row r="294" spans="1:20">
      <c r="A294" s="3" t="s">
        <v>386</v>
      </c>
      <c r="B294" s="3" t="str">
        <f t="shared" si="23"/>
        <v>Dec</v>
      </c>
      <c r="C294" s="3" t="str">
        <f t="shared" si="24"/>
        <v>2025</v>
      </c>
      <c r="D294" s="3" t="str">
        <f t="shared" si="25"/>
        <v>Thursday</v>
      </c>
      <c r="E294" s="25">
        <v>46016</v>
      </c>
      <c r="F294" s="4" t="str">
        <f t="shared" si="26"/>
        <v>North</v>
      </c>
      <c r="G294" s="3" t="s">
        <v>50</v>
      </c>
      <c r="H294" s="3" t="s">
        <v>51</v>
      </c>
      <c r="I294" s="3" t="str">
        <f t="shared" si="27"/>
        <v>Corporate</v>
      </c>
      <c r="J294" s="3" t="s">
        <v>72</v>
      </c>
      <c r="K294" s="3" t="s">
        <v>46</v>
      </c>
      <c r="L294" s="3" t="str">
        <f t="shared" si="28"/>
        <v>Usb-C Hub</v>
      </c>
      <c r="M294" s="3" t="s">
        <v>93</v>
      </c>
      <c r="N294" s="5">
        <v>10</v>
      </c>
      <c r="O294" s="6">
        <v>25.72</v>
      </c>
      <c r="P294" s="7">
        <v>0.15</v>
      </c>
      <c r="Q294" s="6">
        <v>218.62</v>
      </c>
      <c r="R294" s="6">
        <v>141.46</v>
      </c>
      <c r="S294" s="6">
        <v>77.16</v>
      </c>
      <c r="T294" s="3" t="s">
        <v>88</v>
      </c>
    </row>
    <row r="295" spans="1:20">
      <c r="A295" s="3" t="s">
        <v>387</v>
      </c>
      <c r="B295" s="3" t="str">
        <f t="shared" si="23"/>
        <v>Apr</v>
      </c>
      <c r="C295" s="3" t="str">
        <f t="shared" si="24"/>
        <v>2026</v>
      </c>
      <c r="D295" s="3" t="str">
        <f t="shared" si="25"/>
        <v>Wednesday</v>
      </c>
      <c r="E295" s="25">
        <v>46127</v>
      </c>
      <c r="F295" s="4" t="str">
        <f t="shared" si="26"/>
        <v>North</v>
      </c>
      <c r="G295" s="3" t="s">
        <v>50</v>
      </c>
      <c r="H295" s="3" t="s">
        <v>51</v>
      </c>
      <c r="I295" s="3" t="str">
        <f t="shared" si="27"/>
        <v>Retail</v>
      </c>
      <c r="J295" s="3" t="s">
        <v>90</v>
      </c>
      <c r="K295" s="3" t="s">
        <v>46</v>
      </c>
      <c r="L295" s="3" t="str">
        <f t="shared" si="28"/>
        <v>Wireless Mouse</v>
      </c>
      <c r="M295" s="3" t="s">
        <v>75</v>
      </c>
      <c r="N295" s="5">
        <v>7</v>
      </c>
      <c r="O295" s="6">
        <v>16.14</v>
      </c>
      <c r="P295" s="7">
        <v>0.1</v>
      </c>
      <c r="Q295" s="6">
        <v>101.68</v>
      </c>
      <c r="R295" s="6">
        <v>54.23</v>
      </c>
      <c r="S295" s="6">
        <v>47.45</v>
      </c>
      <c r="T295" s="3" t="s">
        <v>65</v>
      </c>
    </row>
    <row r="296" spans="1:20">
      <c r="A296" s="3" t="s">
        <v>388</v>
      </c>
      <c r="B296" s="3" t="str">
        <f t="shared" si="23"/>
        <v>Dec</v>
      </c>
      <c r="C296" s="3" t="str">
        <f t="shared" si="24"/>
        <v>2025</v>
      </c>
      <c r="D296" s="3" t="str">
        <f t="shared" si="25"/>
        <v>Saturday</v>
      </c>
      <c r="E296" s="25">
        <v>46004</v>
      </c>
      <c r="F296" s="4" t="str">
        <f t="shared" si="26"/>
        <v>West</v>
      </c>
      <c r="G296" s="3" t="s">
        <v>67</v>
      </c>
      <c r="H296" s="3" t="s">
        <v>68</v>
      </c>
      <c r="I296" s="3" t="str">
        <f t="shared" si="27"/>
        <v>Wholesale</v>
      </c>
      <c r="J296" s="3" t="s">
        <v>45</v>
      </c>
      <c r="K296" s="3" t="s">
        <v>52</v>
      </c>
      <c r="L296" s="3" t="str">
        <f t="shared" si="28"/>
        <v>Water Bottle</v>
      </c>
      <c r="M296" s="3" t="s">
        <v>53</v>
      </c>
      <c r="N296" s="5">
        <v>6</v>
      </c>
      <c r="O296" s="6">
        <v>8.06</v>
      </c>
      <c r="P296" s="7">
        <v>0</v>
      </c>
      <c r="Q296" s="6">
        <v>48.36</v>
      </c>
      <c r="R296" s="6">
        <v>20.79</v>
      </c>
      <c r="S296" s="6">
        <v>27.57</v>
      </c>
      <c r="T296" s="3" t="s">
        <v>63</v>
      </c>
    </row>
    <row r="297" spans="1:20">
      <c r="A297" s="3" t="s">
        <v>389</v>
      </c>
      <c r="B297" s="3" t="str">
        <f t="shared" si="23"/>
        <v>Apr</v>
      </c>
      <c r="C297" s="3" t="str">
        <f t="shared" si="24"/>
        <v>2026</v>
      </c>
      <c r="D297" s="3" t="str">
        <f t="shared" si="25"/>
        <v>Wednesday</v>
      </c>
      <c r="E297" s="25">
        <v>46127</v>
      </c>
      <c r="F297" s="4" t="str">
        <f t="shared" si="26"/>
        <v>East</v>
      </c>
      <c r="G297" s="3" t="s">
        <v>61</v>
      </c>
      <c r="H297" s="3" t="s">
        <v>62</v>
      </c>
      <c r="I297" s="3" t="str">
        <f t="shared" si="27"/>
        <v>Wholesale</v>
      </c>
      <c r="J297" s="3" t="s">
        <v>45</v>
      </c>
      <c r="K297" s="3" t="s">
        <v>52</v>
      </c>
      <c r="L297" s="3" t="str">
        <f t="shared" si="28"/>
        <v>Laptop Sleeve</v>
      </c>
      <c r="M297" s="3" t="s">
        <v>91</v>
      </c>
      <c r="N297" s="5">
        <v>5</v>
      </c>
      <c r="O297" s="6">
        <v>20.95</v>
      </c>
      <c r="P297" s="7">
        <v>0.15</v>
      </c>
      <c r="Q297" s="6">
        <v>89.04</v>
      </c>
      <c r="R297" s="6">
        <v>51.33</v>
      </c>
      <c r="S297" s="6">
        <v>37.71</v>
      </c>
      <c r="T297" s="3" t="s">
        <v>88</v>
      </c>
    </row>
    <row r="298" spans="1:20">
      <c r="A298" s="3" t="s">
        <v>390</v>
      </c>
      <c r="B298" s="3" t="str">
        <f t="shared" si="23"/>
        <v>Jun</v>
      </c>
      <c r="C298" s="3" t="str">
        <f t="shared" si="24"/>
        <v>2025</v>
      </c>
      <c r="D298" s="3" t="str">
        <f t="shared" si="25"/>
        <v>Sunday</v>
      </c>
      <c r="E298" s="25">
        <v>45823</v>
      </c>
      <c r="F298" s="4" t="str">
        <f t="shared" si="26"/>
        <v>East</v>
      </c>
      <c r="G298" s="3" t="s">
        <v>61</v>
      </c>
      <c r="H298" s="3" t="s">
        <v>62</v>
      </c>
      <c r="I298" s="3" t="str">
        <f t="shared" si="27"/>
        <v>Corporate</v>
      </c>
      <c r="J298" s="3" t="s">
        <v>72</v>
      </c>
      <c r="K298" s="3" t="s">
        <v>84</v>
      </c>
      <c r="L298" s="3" t="str">
        <f t="shared" si="28"/>
        <v>Desk Organizer</v>
      </c>
      <c r="M298" s="3" t="s">
        <v>134</v>
      </c>
      <c r="N298" s="5">
        <v>11</v>
      </c>
      <c r="O298" s="6">
        <v>15.07</v>
      </c>
      <c r="P298" s="7">
        <v>0</v>
      </c>
      <c r="Q298" s="6">
        <v>165.77</v>
      </c>
      <c r="R298" s="6">
        <v>76.25</v>
      </c>
      <c r="S298" s="6">
        <v>89.52</v>
      </c>
      <c r="T298" s="3" t="s">
        <v>77</v>
      </c>
    </row>
    <row r="299" spans="1:20">
      <c r="A299" s="3" t="s">
        <v>391</v>
      </c>
      <c r="B299" s="3" t="str">
        <f t="shared" si="23"/>
        <v>Oct</v>
      </c>
      <c r="C299" s="3" t="str">
        <f t="shared" si="24"/>
        <v>2026</v>
      </c>
      <c r="D299" s="3" t="str">
        <f t="shared" si="25"/>
        <v>Saturday</v>
      </c>
      <c r="E299" s="25">
        <v>46312</v>
      </c>
      <c r="F299" s="4" t="str">
        <f t="shared" si="26"/>
        <v>North</v>
      </c>
      <c r="G299" s="3" t="s">
        <v>50</v>
      </c>
      <c r="H299" s="3" t="s">
        <v>51</v>
      </c>
      <c r="I299" s="3" t="str">
        <f t="shared" si="27"/>
        <v>Corporate</v>
      </c>
      <c r="J299" s="3" t="s">
        <v>72</v>
      </c>
      <c r="K299" s="3" t="s">
        <v>46</v>
      </c>
      <c r="L299" s="3" t="str">
        <f t="shared" si="28"/>
        <v>Usb-C Hub</v>
      </c>
      <c r="M299" s="3" t="s">
        <v>93</v>
      </c>
      <c r="N299" s="5">
        <v>6</v>
      </c>
      <c r="O299" s="6">
        <v>24.93</v>
      </c>
      <c r="P299" s="7">
        <v>0.1</v>
      </c>
      <c r="Q299" s="6">
        <v>134.62</v>
      </c>
      <c r="R299" s="6">
        <v>82.27</v>
      </c>
      <c r="S299" s="6">
        <v>52.35</v>
      </c>
      <c r="T299" s="3" t="s">
        <v>65</v>
      </c>
    </row>
    <row r="300" spans="1:20">
      <c r="A300" s="3" t="s">
        <v>392</v>
      </c>
      <c r="B300" s="3" t="str">
        <f t="shared" si="23"/>
        <v>Mar</v>
      </c>
      <c r="C300" s="3" t="str">
        <f t="shared" si="24"/>
        <v>2025</v>
      </c>
      <c r="D300" s="3" t="str">
        <f t="shared" si="25"/>
        <v>Thursday</v>
      </c>
      <c r="E300" s="25">
        <v>45743</v>
      </c>
      <c r="F300" s="4" t="str">
        <f t="shared" si="26"/>
        <v>West</v>
      </c>
      <c r="G300" s="3" t="s">
        <v>67</v>
      </c>
      <c r="H300" s="3" t="s">
        <v>68</v>
      </c>
      <c r="I300" s="3" t="str">
        <f t="shared" si="27"/>
        <v>Online</v>
      </c>
      <c r="J300" s="3" t="s">
        <v>58</v>
      </c>
      <c r="K300" s="3" t="s">
        <v>84</v>
      </c>
      <c r="L300" s="3" t="str">
        <f t="shared" si="28"/>
        <v>Desk Organizer</v>
      </c>
      <c r="M300" s="3" t="s">
        <v>134</v>
      </c>
      <c r="N300" s="5">
        <v>12</v>
      </c>
      <c r="O300" s="6">
        <v>15.11</v>
      </c>
      <c r="P300" s="7">
        <v>0.1</v>
      </c>
      <c r="Q300" s="6">
        <v>163.19</v>
      </c>
      <c r="R300" s="6">
        <v>83.41</v>
      </c>
      <c r="S300" s="6">
        <v>79.78</v>
      </c>
      <c r="T300" s="3" t="s">
        <v>63</v>
      </c>
    </row>
    <row r="301" spans="1:20">
      <c r="A301" s="3" t="s">
        <v>393</v>
      </c>
      <c r="B301" s="3" t="str">
        <f t="shared" si="23"/>
        <v>Jan</v>
      </c>
      <c r="C301" s="3" t="str">
        <f t="shared" si="24"/>
        <v>2026</v>
      </c>
      <c r="D301" s="3" t="str">
        <f t="shared" si="25"/>
        <v>Monday</v>
      </c>
      <c r="E301" s="25">
        <v>46048</v>
      </c>
      <c r="F301" s="4" t="str">
        <f t="shared" si="26"/>
        <v>East</v>
      </c>
      <c r="G301" s="3" t="s">
        <v>61</v>
      </c>
      <c r="H301" s="3" t="s">
        <v>62</v>
      </c>
      <c r="I301" s="3" t="str">
        <f t="shared" si="27"/>
        <v>Online</v>
      </c>
      <c r="J301" s="3" t="s">
        <v>58</v>
      </c>
      <c r="K301" s="3" t="s">
        <v>69</v>
      </c>
      <c r="L301" s="3" t="str">
        <f t="shared" si="28"/>
        <v>Standing Desk</v>
      </c>
      <c r="M301" s="3" t="s">
        <v>81</v>
      </c>
      <c r="N301" s="5">
        <v>1</v>
      </c>
      <c r="O301" s="6">
        <v>258.11</v>
      </c>
      <c r="P301" s="7">
        <v>0.15</v>
      </c>
      <c r="Q301" s="6">
        <v>219.39</v>
      </c>
      <c r="R301" s="6">
        <v>154.87</v>
      </c>
      <c r="S301" s="6">
        <v>64.52</v>
      </c>
      <c r="T301" s="3" t="s">
        <v>48</v>
      </c>
    </row>
  </sheetData>
  <conditionalFormatting sqref="A2:T301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8"/>
  <sheetViews>
    <sheetView workbookViewId="0">
      <selection activeCell="H18" sqref="H18"/>
    </sheetView>
  </sheetViews>
  <sheetFormatPr defaultRowHeight="14"/>
  <cols>
    <col min="1" max="1" width="12.9140625" customWidth="1"/>
    <col min="2" max="2" width="12" bestFit="1" customWidth="1"/>
    <col min="3" max="3" width="11.9140625" bestFit="1" customWidth="1"/>
    <col min="4" max="4" width="18.1640625" customWidth="1"/>
    <col min="5" max="5" width="12" customWidth="1"/>
    <col min="6" max="6" width="11.9140625" customWidth="1"/>
    <col min="7" max="12" width="15.58203125" bestFit="1" customWidth="1"/>
    <col min="13" max="13" width="10.83203125" bestFit="1" customWidth="1"/>
  </cols>
  <sheetData>
    <row r="3" spans="2:4" ht="17.5">
      <c r="B3" s="32" t="s">
        <v>420</v>
      </c>
      <c r="C3" s="32"/>
      <c r="D3" s="32"/>
    </row>
    <row r="4" spans="2:4">
      <c r="B4" s="30" t="s">
        <v>415</v>
      </c>
      <c r="C4" s="29" t="s">
        <v>416</v>
      </c>
      <c r="D4" s="29" t="s">
        <v>417</v>
      </c>
    </row>
    <row r="5" spans="2:4">
      <c r="B5" s="26" t="s">
        <v>402</v>
      </c>
      <c r="C5" s="28">
        <v>4637.5600000000004</v>
      </c>
      <c r="D5" s="28">
        <v>1934.11</v>
      </c>
    </row>
    <row r="6" spans="2:4">
      <c r="B6" s="26" t="s">
        <v>403</v>
      </c>
      <c r="C6" s="28">
        <v>9184.94</v>
      </c>
      <c r="D6" s="28">
        <v>3572.64</v>
      </c>
    </row>
    <row r="7" spans="2:4">
      <c r="B7" s="26" t="s">
        <v>404</v>
      </c>
      <c r="C7" s="28">
        <v>5739.59</v>
      </c>
      <c r="D7" s="28">
        <v>2456.75</v>
      </c>
    </row>
    <row r="8" spans="2:4">
      <c r="B8" s="26" t="s">
        <v>405</v>
      </c>
      <c r="C8" s="28">
        <v>8744.3299999999981</v>
      </c>
      <c r="D8" s="28">
        <v>3598.9199999999992</v>
      </c>
    </row>
    <row r="9" spans="2:4">
      <c r="B9" s="26" t="s">
        <v>406</v>
      </c>
      <c r="C9" s="28">
        <v>10735.780000000002</v>
      </c>
      <c r="D9" s="28">
        <v>4242.8</v>
      </c>
    </row>
    <row r="10" spans="2:4">
      <c r="B10" s="26" t="s">
        <v>407</v>
      </c>
      <c r="C10" s="28">
        <v>2958.7699999999995</v>
      </c>
      <c r="D10" s="28">
        <v>1361.18</v>
      </c>
    </row>
    <row r="11" spans="2:4">
      <c r="B11" s="26" t="s">
        <v>408</v>
      </c>
      <c r="C11" s="28">
        <v>5021.4699999999984</v>
      </c>
      <c r="D11" s="28">
        <v>1945.1999999999998</v>
      </c>
    </row>
    <row r="12" spans="2:4">
      <c r="B12" s="26" t="s">
        <v>409</v>
      </c>
      <c r="C12" s="28">
        <v>2701.9900000000007</v>
      </c>
      <c r="D12" s="28">
        <v>1223.8700000000001</v>
      </c>
    </row>
    <row r="13" spans="2:4">
      <c r="B13" s="26" t="s">
        <v>410</v>
      </c>
      <c r="C13" s="28">
        <v>9166.52</v>
      </c>
      <c r="D13" s="28">
        <v>3590.87</v>
      </c>
    </row>
    <row r="14" spans="2:4">
      <c r="B14" s="26" t="s">
        <v>411</v>
      </c>
      <c r="C14" s="28">
        <v>7374.0199999999995</v>
      </c>
      <c r="D14" s="28">
        <v>2789.55</v>
      </c>
    </row>
    <row r="15" spans="2:4">
      <c r="B15" s="26" t="s">
        <v>412</v>
      </c>
      <c r="C15" s="28">
        <v>6535.2100000000009</v>
      </c>
      <c r="D15" s="28">
        <v>2698.2000000000003</v>
      </c>
    </row>
    <row r="16" spans="2:4">
      <c r="B16" s="26" t="s">
        <v>413</v>
      </c>
      <c r="C16" s="28">
        <v>8261.2200000000012</v>
      </c>
      <c r="D16" s="28">
        <v>3562.6699999999996</v>
      </c>
    </row>
    <row r="17" spans="2:8">
      <c r="B17" s="26" t="s">
        <v>414</v>
      </c>
      <c r="C17" s="28">
        <v>81061.400000000009</v>
      </c>
      <c r="D17" s="28">
        <v>32976.759999999995</v>
      </c>
    </row>
    <row r="18" spans="2:8">
      <c r="H18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F10"/>
  <sheetViews>
    <sheetView workbookViewId="0">
      <selection activeCell="J19" sqref="J19"/>
    </sheetView>
  </sheetViews>
  <sheetFormatPr defaultRowHeight="14"/>
  <cols>
    <col min="1" max="1" width="12.9140625" customWidth="1"/>
    <col min="2" max="2" width="12" bestFit="1" customWidth="1"/>
    <col min="3" max="3" width="11.9140625" bestFit="1" customWidth="1"/>
    <col min="5" max="5" width="12.58203125" customWidth="1"/>
    <col min="6" max="6" width="17.08203125" customWidth="1"/>
  </cols>
  <sheetData>
    <row r="3" spans="5:6" ht="17.5">
      <c r="E3" s="32" t="s">
        <v>419</v>
      </c>
      <c r="F3" s="32"/>
    </row>
    <row r="4" spans="5:6">
      <c r="E4" s="27" t="s">
        <v>415</v>
      </c>
      <c r="F4" t="s">
        <v>416</v>
      </c>
    </row>
    <row r="5" spans="5:6">
      <c r="E5" s="26" t="s">
        <v>67</v>
      </c>
      <c r="F5" s="28">
        <v>19783.129999999997</v>
      </c>
    </row>
    <row r="6" spans="5:6">
      <c r="E6" s="26" t="s">
        <v>56</v>
      </c>
      <c r="F6" s="28">
        <v>19279.88</v>
      </c>
    </row>
    <row r="7" spans="5:6">
      <c r="E7" s="26" t="s">
        <v>50</v>
      </c>
      <c r="F7" s="28">
        <v>17631.04</v>
      </c>
    </row>
    <row r="8" spans="5:6">
      <c r="E8" s="26" t="s">
        <v>61</v>
      </c>
      <c r="F8" s="28">
        <v>14740.930000000002</v>
      </c>
    </row>
    <row r="9" spans="5:6">
      <c r="E9" s="26" t="s">
        <v>74</v>
      </c>
      <c r="F9" s="28">
        <v>9626.4199999999983</v>
      </c>
    </row>
    <row r="10" spans="5:6">
      <c r="E10" s="26" t="s">
        <v>414</v>
      </c>
      <c r="F10" s="28">
        <v>81061.399999999994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G16"/>
  <sheetViews>
    <sheetView workbookViewId="0">
      <selection activeCell="G19" sqref="G19"/>
    </sheetView>
  </sheetViews>
  <sheetFormatPr defaultRowHeight="14"/>
  <cols>
    <col min="1" max="1" width="14.33203125" bestFit="1" customWidth="1"/>
    <col min="2" max="2" width="12" bestFit="1" customWidth="1"/>
    <col min="6" max="6" width="13.9140625" customWidth="1"/>
    <col min="7" max="7" width="16.6640625" customWidth="1"/>
  </cols>
  <sheetData>
    <row r="2" spans="6:7" ht="20">
      <c r="F2" s="31" t="s">
        <v>418</v>
      </c>
      <c r="G2" s="31"/>
    </row>
    <row r="3" spans="6:7">
      <c r="F3" s="27" t="s">
        <v>415</v>
      </c>
      <c r="G3" t="s">
        <v>416</v>
      </c>
    </row>
    <row r="4" spans="6:7">
      <c r="F4" s="26" t="s">
        <v>81</v>
      </c>
      <c r="G4" s="28">
        <v>27758.889999999996</v>
      </c>
    </row>
    <row r="5" spans="6:7">
      <c r="F5" s="26" t="s">
        <v>70</v>
      </c>
      <c r="G5" s="28">
        <v>18544.060000000001</v>
      </c>
    </row>
    <row r="6" spans="6:7">
      <c r="F6" s="26" t="s">
        <v>79</v>
      </c>
      <c r="G6" s="28">
        <v>14800.5</v>
      </c>
    </row>
    <row r="7" spans="6:7">
      <c r="F7" s="26" t="s">
        <v>396</v>
      </c>
      <c r="G7" s="28">
        <v>4385.1900000000005</v>
      </c>
    </row>
    <row r="8" spans="6:7">
      <c r="F8" s="26" t="s">
        <v>116</v>
      </c>
      <c r="G8" s="28">
        <v>2635.47</v>
      </c>
    </row>
    <row r="9" spans="6:7">
      <c r="F9" s="26" t="s">
        <v>91</v>
      </c>
      <c r="G9" s="28">
        <v>2592.9700000000003</v>
      </c>
    </row>
    <row r="10" spans="6:7">
      <c r="F10" s="26" t="s">
        <v>134</v>
      </c>
      <c r="G10" s="28">
        <v>2373.13</v>
      </c>
    </row>
    <row r="11" spans="6:7">
      <c r="F11" s="26" t="s">
        <v>59</v>
      </c>
      <c r="G11" s="28">
        <v>2218.3499999999995</v>
      </c>
    </row>
    <row r="12" spans="6:7">
      <c r="F12" s="26" t="s">
        <v>75</v>
      </c>
      <c r="G12" s="28">
        <v>1614.9</v>
      </c>
    </row>
    <row r="13" spans="6:7">
      <c r="F13" s="26" t="s">
        <v>53</v>
      </c>
      <c r="G13" s="28">
        <v>1608.7999999999993</v>
      </c>
    </row>
    <row r="14" spans="6:7">
      <c r="F14" s="26" t="s">
        <v>85</v>
      </c>
      <c r="G14" s="28">
        <v>1396.27</v>
      </c>
    </row>
    <row r="15" spans="6:7">
      <c r="F15" s="26" t="s">
        <v>96</v>
      </c>
      <c r="G15" s="28">
        <v>1132.8700000000001</v>
      </c>
    </row>
    <row r="16" spans="6:7">
      <c r="F16" s="26" t="s">
        <v>414</v>
      </c>
      <c r="G16" s="28">
        <v>81061.399999999994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Practice</vt:lpstr>
      <vt:lpstr>Raw Sales Data</vt:lpstr>
      <vt:lpstr>Clean_Data</vt:lpstr>
      <vt:lpstr>Monthly_Sales</vt:lpstr>
      <vt:lpstr>Top_Region_Sales</vt:lpstr>
      <vt:lpstr>Product_wise_sales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2026-09-28T12:32:55Z</dcterms:modified>
</cp:coreProperties>
</file>