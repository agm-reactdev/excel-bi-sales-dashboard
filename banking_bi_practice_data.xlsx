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 tabRatio="910" firstSheet="2" activeTab="7"/>
  </bookViews>
  <sheets>
    <sheet name="Dashboard Practice" sheetId="1" r:id="rId1"/>
    <sheet name="Raw Banking Data" sheetId="2" r:id="rId2"/>
    <sheet name="Clean Bank Data" sheetId="3" r:id="rId3"/>
    <sheet name="Monthlly_Transection_Analysis" sheetId="4" r:id="rId4"/>
    <sheet name="Transection_By_Branch" sheetId="5" r:id="rId5"/>
    <sheet name="Completed_tr_ratio" sheetId="6" r:id="rId6"/>
    <sheet name="Channal_channal and id" sheetId="7" r:id="rId7"/>
    <sheet name="Sagment_Amout" sheetId="8" r:id="rId8"/>
  </sheets>
  <calcPr calcId="162913"/>
  <pivotCaches>
    <pivotCache cacheId="11" r:id="rId9"/>
  </pivotCaches>
</workbook>
</file>

<file path=xl/calcChain.xml><?xml version="1.0" encoding="utf-8"?>
<calcChain xmlns="http://schemas.openxmlformats.org/spreadsheetml/2006/main">
  <c r="E29" i="4" l="1"/>
  <c r="W30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</calcChain>
</file>

<file path=xl/sharedStrings.xml><?xml version="1.0" encoding="utf-8"?>
<sst xmlns="http://schemas.openxmlformats.org/spreadsheetml/2006/main" count="6018" uniqueCount="459">
  <si>
    <t>Banking Data Analyst Practice</t>
  </si>
  <si>
    <t>Fictional practice data only. Clean Raw Banking Data, create PivotTables, then build your dashboard here.</t>
  </si>
  <si>
    <t>Practice checklist</t>
  </si>
  <si>
    <t>Status</t>
  </si>
  <si>
    <t>Your dashboard area</t>
  </si>
  <si>
    <t>Remove exact duplicate transactions</t>
  </si>
  <si>
    <t>Not started</t>
  </si>
  <si>
    <t>Standardize Branch, Segment, Account and Channel</t>
  </si>
  <si>
    <t>Fix text dates and create Month-Year</t>
  </si>
  <si>
    <t>Review missing Relationship Manager or Segment</t>
  </si>
  <si>
    <t>Create monthly transaction analysis</t>
  </si>
  <si>
    <t>Create top Branch and Channel analysis</t>
  </si>
  <si>
    <t>Suggested analyses</t>
  </si>
  <si>
    <t>Monthly Amount</t>
  </si>
  <si>
    <t>Month-Year + Sum of Amount</t>
  </si>
  <si>
    <t>Transactions by Branch</t>
  </si>
  <si>
    <t>Branch + Sum of Amount</t>
  </si>
  <si>
    <t>Channel Mix</t>
  </si>
  <si>
    <t>Channel + Count of Transaction ID</t>
  </si>
  <si>
    <t>Transaction Type</t>
  </si>
  <si>
    <t>Type + Sum of Amount</t>
  </si>
  <si>
    <t>Status + Count of Transaction ID</t>
  </si>
  <si>
    <t>Customer Segment</t>
  </si>
  <si>
    <t>Segment + Sum of Amount</t>
  </si>
  <si>
    <t>Data Quality</t>
  </si>
  <si>
    <t>Duplicate count, blanks, inconsistent labels</t>
  </si>
  <si>
    <t>Tip</t>
  </si>
  <si>
    <t>Create clean helper columns and use those fields in your PivotTables. Keep Raw Banking Data unchanged.</t>
  </si>
  <si>
    <t>Transaction ID</t>
  </si>
  <si>
    <t>Transaction Date</t>
  </si>
  <si>
    <t>Branch</t>
  </si>
  <si>
    <t>City</t>
  </si>
  <si>
    <t>Account Type</t>
  </si>
  <si>
    <t>Channel</t>
  </si>
  <si>
    <t>Amount</t>
  </si>
  <si>
    <t>Fee</t>
  </si>
  <si>
    <t>Relationship Manager</t>
  </si>
  <si>
    <t>TXN-050001</t>
  </si>
  <si>
    <t>10/11/2026</t>
  </si>
  <si>
    <t>sukkur</t>
  </si>
  <si>
    <t>Sukkur</t>
  </si>
  <si>
    <t>retail</t>
  </si>
  <si>
    <t>salary</t>
  </si>
  <si>
    <t>Deposit</t>
  </si>
  <si>
    <t>mobile app</t>
  </si>
  <si>
    <t>Completed</t>
  </si>
  <si>
    <t>Iqra</t>
  </si>
  <si>
    <t>TXN-050002</t>
  </si>
  <si>
    <t>Larkana</t>
  </si>
  <si>
    <t>Premium</t>
  </si>
  <si>
    <t>Current</t>
  </si>
  <si>
    <t>Bill Payment</t>
  </si>
  <si>
    <t>ATM</t>
  </si>
  <si>
    <t>Maham</t>
  </si>
  <si>
    <t>TXN-050003</t>
  </si>
  <si>
    <t>SME</t>
  </si>
  <si>
    <t>Salary</t>
  </si>
  <si>
    <t>Farhan</t>
  </si>
  <si>
    <t>TXN-050004</t>
  </si>
  <si>
    <t>TXN-050005</t>
  </si>
  <si>
    <t>Withdrawal</t>
  </si>
  <si>
    <t>Mobile App</t>
  </si>
  <si>
    <t>TXN-050006</t>
  </si>
  <si>
    <t>Hyderabad</t>
  </si>
  <si>
    <t>Corporate</t>
  </si>
  <si>
    <t>Sana</t>
  </si>
  <si>
    <t>TXN-050007</t>
  </si>
  <si>
    <t>Nawabshah</t>
  </si>
  <si>
    <t>Shaheed Benazirabad</t>
  </si>
  <si>
    <t>Savings</t>
  </si>
  <si>
    <t>Bilal</t>
  </si>
  <si>
    <t>TXN-050008</t>
  </si>
  <si>
    <t>TXN-050009</t>
  </si>
  <si>
    <t>Karachi Main</t>
  </si>
  <si>
    <t>Karachi</t>
  </si>
  <si>
    <t>Ahmed</t>
  </si>
  <si>
    <t>TXN-050010</t>
  </si>
  <si>
    <t>Retail</t>
  </si>
  <si>
    <t>Internet Banking</t>
  </si>
  <si>
    <t>TXN-050011</t>
  </si>
  <si>
    <t>TXN-050012</t>
  </si>
  <si>
    <t>TXN-050013</t>
  </si>
  <si>
    <t>TXN-050014</t>
  </si>
  <si>
    <t>Transfer</t>
  </si>
  <si>
    <t>Pending</t>
  </si>
  <si>
    <t>TXN-050015</t>
  </si>
  <si>
    <t>TXN-050016</t>
  </si>
  <si>
    <t>TXN-050017</t>
  </si>
  <si>
    <t>TXN-050018</t>
  </si>
  <si>
    <t>TXN-050019</t>
  </si>
  <si>
    <t>TXN-050020</t>
  </si>
  <si>
    <t>TXN-050021</t>
  </si>
  <si>
    <t>TXN-050022</t>
  </si>
  <si>
    <t>TXN-050023</t>
  </si>
  <si>
    <t>TXN-050024</t>
  </si>
  <si>
    <t>TXN-050025</t>
  </si>
  <si>
    <t>TXN-050026</t>
  </si>
  <si>
    <t>TXN-050027</t>
  </si>
  <si>
    <t>TXN-050028</t>
  </si>
  <si>
    <t>TXN-050029</t>
  </si>
  <si>
    <t>TXN-050030</t>
  </si>
  <si>
    <t>TXN-050031</t>
  </si>
  <si>
    <t>TXN-050032</t>
  </si>
  <si>
    <t>TXN-050033</t>
  </si>
  <si>
    <t>TXN-050034</t>
  </si>
  <si>
    <t>TXN-050035</t>
  </si>
  <si>
    <t>TXN-050036</t>
  </si>
  <si>
    <t>TXN-050037</t>
  </si>
  <si>
    <t>TXN-050038</t>
  </si>
  <si>
    <t>hyderabad</t>
  </si>
  <si>
    <t>TXN-050039</t>
  </si>
  <si>
    <t>TXN-050040</t>
  </si>
  <si>
    <t>TXN-050041</t>
  </si>
  <si>
    <t>TXN-050042</t>
  </si>
  <si>
    <t>TXN-050043</t>
  </si>
  <si>
    <t>TXN-050044</t>
  </si>
  <si>
    <t>TXN-050045</t>
  </si>
  <si>
    <t>TXN-050046</t>
  </si>
  <si>
    <t>TXN-050047</t>
  </si>
  <si>
    <t>TXN-050048</t>
  </si>
  <si>
    <t>TXN-050049</t>
  </si>
  <si>
    <t>TXN-050050</t>
  </si>
  <si>
    <t>TXN-050051</t>
  </si>
  <si>
    <t>TXN-050052</t>
  </si>
  <si>
    <t>TXN-050053</t>
  </si>
  <si>
    <t>TXN-050054</t>
  </si>
  <si>
    <t>TXN-050055</t>
  </si>
  <si>
    <t>TXN-050056</t>
  </si>
  <si>
    <t>TXN-050057</t>
  </si>
  <si>
    <t>TXN-050058</t>
  </si>
  <si>
    <t>TXN-050059</t>
  </si>
  <si>
    <t>TXN-050060</t>
  </si>
  <si>
    <t>TXN-050061</t>
  </si>
  <si>
    <t>TXN-050062</t>
  </si>
  <si>
    <t>TXN-050063</t>
  </si>
  <si>
    <t>TXN-050064</t>
  </si>
  <si>
    <t>TXN-050065</t>
  </si>
  <si>
    <t>TXN-050066</t>
  </si>
  <si>
    <t>TXN-050067</t>
  </si>
  <si>
    <t>TXN-050068</t>
  </si>
  <si>
    <t>savings</t>
  </si>
  <si>
    <t>TXN-050069</t>
  </si>
  <si>
    <t>TXN-050070</t>
  </si>
  <si>
    <t>TXN-050071</t>
  </si>
  <si>
    <t>TXN-050072</t>
  </si>
  <si>
    <t>TXN-050073</t>
  </si>
  <si>
    <t>TXN-050074</t>
  </si>
  <si>
    <t>TXN-050075</t>
  </si>
  <si>
    <t>larkana</t>
  </si>
  <si>
    <t>TXN-050076</t>
  </si>
  <si>
    <t>TXN-050077</t>
  </si>
  <si>
    <t>TXN-050078</t>
  </si>
  <si>
    <t>TXN-050079</t>
  </si>
  <si>
    <t>TXN-050080</t>
  </si>
  <si>
    <t>BillPayment</t>
  </si>
  <si>
    <t>TXN-050081</t>
  </si>
  <si>
    <t>TXN-050082</t>
  </si>
  <si>
    <t>TXN-050083</t>
  </si>
  <si>
    <t>TXN-050084</t>
  </si>
  <si>
    <t>TXN-050085</t>
  </si>
  <si>
    <t>TXN-050086</t>
  </si>
  <si>
    <t>TXN-050087</t>
  </si>
  <si>
    <t>TXN-050088</t>
  </si>
  <si>
    <t>TXN-050089</t>
  </si>
  <si>
    <t>TXN-050090</t>
  </si>
  <si>
    <t>07/10/2025</t>
  </si>
  <si>
    <t>TXN-050091</t>
  </si>
  <si>
    <t>TXN-050092</t>
  </si>
  <si>
    <t>TXN-050093</t>
  </si>
  <si>
    <t>TXN-050094</t>
  </si>
  <si>
    <t>TXN-050095</t>
  </si>
  <si>
    <t>premium</t>
  </si>
  <si>
    <t>TXN-050096</t>
  </si>
  <si>
    <t>TXN-050097</t>
  </si>
  <si>
    <t>TXN-050098</t>
  </si>
  <si>
    <t>TXN-050099</t>
  </si>
  <si>
    <t>TXN-050100</t>
  </si>
  <si>
    <t>TXN-050101</t>
  </si>
  <si>
    <t>TXN-050102</t>
  </si>
  <si>
    <t>TXN-050103</t>
  </si>
  <si>
    <t>TXN-050104</t>
  </si>
  <si>
    <t>TXN-050105</t>
  </si>
  <si>
    <t>TXN-050106</t>
  </si>
  <si>
    <t>TXN-050107</t>
  </si>
  <si>
    <t>TXN-050108</t>
  </si>
  <si>
    <t>TXN-050109</t>
  </si>
  <si>
    <t>TXN-050110</t>
  </si>
  <si>
    <t>TXN-050111</t>
  </si>
  <si>
    <t>TXN-050112</t>
  </si>
  <si>
    <t>TXN-050113</t>
  </si>
  <si>
    <t>TXN-050114</t>
  </si>
  <si>
    <t>TXN-050115</t>
  </si>
  <si>
    <t>TXN-050116</t>
  </si>
  <si>
    <t>TXN-050117</t>
  </si>
  <si>
    <t>TXN-050118</t>
  </si>
  <si>
    <t>TXN-050119</t>
  </si>
  <si>
    <t>TXN-050120</t>
  </si>
  <si>
    <t>TXN-050121</t>
  </si>
  <si>
    <t>TXN-050122</t>
  </si>
  <si>
    <t>TXN-050123</t>
  </si>
  <si>
    <t>TXN-050124</t>
  </si>
  <si>
    <t>TXN-050125</t>
  </si>
  <si>
    <t>TXN-050126</t>
  </si>
  <si>
    <t>TXN-050127</t>
  </si>
  <si>
    <t>TXN-050128</t>
  </si>
  <si>
    <t>TXN-050129</t>
  </si>
  <si>
    <t>TXN-050130</t>
  </si>
  <si>
    <t>TXN-050131</t>
  </si>
  <si>
    <t>TXN-050132</t>
  </si>
  <si>
    <t>TXN-050133</t>
  </si>
  <si>
    <t>TXN-050134</t>
  </si>
  <si>
    <t>TXN-050135</t>
  </si>
  <si>
    <t>current</t>
  </si>
  <si>
    <t>TXN-050136</t>
  </si>
  <si>
    <t>TXN-050137</t>
  </si>
  <si>
    <t>TXN-050138</t>
  </si>
  <si>
    <t>TXN-050139</t>
  </si>
  <si>
    <t>TXN-050140</t>
  </si>
  <si>
    <t>TXN-050141</t>
  </si>
  <si>
    <t>TXN-050142</t>
  </si>
  <si>
    <t>TXN-050143</t>
  </si>
  <si>
    <t>TXN-050144</t>
  </si>
  <si>
    <t>TXN-050145</t>
  </si>
  <si>
    <t>TXN-050146</t>
  </si>
  <si>
    <t>TXN-050147</t>
  </si>
  <si>
    <t>TXN-050148</t>
  </si>
  <si>
    <t>TXN-050149</t>
  </si>
  <si>
    <t>TXN-050150</t>
  </si>
  <si>
    <t>TXN-050151</t>
  </si>
  <si>
    <t>TXN-050152</t>
  </si>
  <si>
    <t>TXN-050153</t>
  </si>
  <si>
    <t>TXN-050154</t>
  </si>
  <si>
    <t>TXN-050155</t>
  </si>
  <si>
    <t>TXN-050156</t>
  </si>
  <si>
    <t>TXN-050157</t>
  </si>
  <si>
    <t>TXN-050158</t>
  </si>
  <si>
    <t>TXN-050159</t>
  </si>
  <si>
    <t>TXN-050160</t>
  </si>
  <si>
    <t>TXN-050161</t>
  </si>
  <si>
    <t>TXN-050162</t>
  </si>
  <si>
    <t>TXN-050163</t>
  </si>
  <si>
    <t>TXN-050164</t>
  </si>
  <si>
    <t>TXN-050165</t>
  </si>
  <si>
    <t>TXN-050166</t>
  </si>
  <si>
    <t>TXN-050167</t>
  </si>
  <si>
    <t>TXN-050168</t>
  </si>
  <si>
    <t>TXN-050169</t>
  </si>
  <si>
    <t>TXN-050170</t>
  </si>
  <si>
    <t>TXN-050171</t>
  </si>
  <si>
    <t>TXN-050172</t>
  </si>
  <si>
    <t>TXN-050173</t>
  </si>
  <si>
    <t>TXN-050174</t>
  </si>
  <si>
    <t>TXN-050175</t>
  </si>
  <si>
    <t>TXN-050176</t>
  </si>
  <si>
    <t>TXN-050177</t>
  </si>
  <si>
    <t>TXN-050178</t>
  </si>
  <si>
    <t>TXN-050179</t>
  </si>
  <si>
    <t>05/10/2025</t>
  </si>
  <si>
    <t>TXN-050180</t>
  </si>
  <si>
    <t>TXN-050181</t>
  </si>
  <si>
    <t>TXN-050182</t>
  </si>
  <si>
    <t>TXN-050183</t>
  </si>
  <si>
    <t>TXN-050184</t>
  </si>
  <si>
    <t>TXN-050185</t>
  </si>
  <si>
    <t>TXN-050186</t>
  </si>
  <si>
    <t>TXN-050187</t>
  </si>
  <si>
    <t>TXN-050188</t>
  </si>
  <si>
    <t>TXN-050189</t>
  </si>
  <si>
    <t>corporate</t>
  </si>
  <si>
    <t>TXN-050190</t>
  </si>
  <si>
    <t>TXN-050191</t>
  </si>
  <si>
    <t>TXN-050192</t>
  </si>
  <si>
    <t>TXN-050193</t>
  </si>
  <si>
    <t>TXN-050194</t>
  </si>
  <si>
    <t>TXN-050195</t>
  </si>
  <si>
    <t>TXN-050196</t>
  </si>
  <si>
    <t>TXN-050197</t>
  </si>
  <si>
    <t>TXN-050198</t>
  </si>
  <si>
    <t>TXN-050199</t>
  </si>
  <si>
    <t>TXN-050200</t>
  </si>
  <si>
    <t>TXN-050201</t>
  </si>
  <si>
    <t>TXN-050202</t>
  </si>
  <si>
    <t>TXN-050203</t>
  </si>
  <si>
    <t>TXN-050204</t>
  </si>
  <si>
    <t>TXN-050205</t>
  </si>
  <si>
    <t>TXN-050206</t>
  </si>
  <si>
    <t>TXN-050207</t>
  </si>
  <si>
    <t>TXN-050208</t>
  </si>
  <si>
    <t>TXN-050209</t>
  </si>
  <si>
    <t>TXN-050210</t>
  </si>
  <si>
    <t>TXN-050211</t>
  </si>
  <si>
    <t>TXN-050212</t>
  </si>
  <si>
    <t>TXN-050213</t>
  </si>
  <si>
    <t>branch</t>
  </si>
  <si>
    <t>TXN-050214</t>
  </si>
  <si>
    <t>TXN-050215</t>
  </si>
  <si>
    <t>TXN-050216</t>
  </si>
  <si>
    <t>TXN-050217</t>
  </si>
  <si>
    <t>TXN-050218</t>
  </si>
  <si>
    <t>TXN-050219</t>
  </si>
  <si>
    <t>TXN-050220</t>
  </si>
  <si>
    <t>TXN-050221</t>
  </si>
  <si>
    <t>TXN-050222</t>
  </si>
  <si>
    <t>TXN-050223</t>
  </si>
  <si>
    <t>TXN-050224</t>
  </si>
  <si>
    <t>TXN-050225</t>
  </si>
  <si>
    <t>TXN-050226</t>
  </si>
  <si>
    <t>TXN-050227</t>
  </si>
  <si>
    <t>pending</t>
  </si>
  <si>
    <t>TXN-050228</t>
  </si>
  <si>
    <t>TXN-050229</t>
  </si>
  <si>
    <t>TXN-050230</t>
  </si>
  <si>
    <t>TXN-050231</t>
  </si>
  <si>
    <t>TXN-050232</t>
  </si>
  <si>
    <t>TXN-050233</t>
  </si>
  <si>
    <t>TXN-050234</t>
  </si>
  <si>
    <t>TXN-050235</t>
  </si>
  <si>
    <t>TXN-050236</t>
  </si>
  <si>
    <t>TXN-050237</t>
  </si>
  <si>
    <t>TXN-050238</t>
  </si>
  <si>
    <t>TXN-050239</t>
  </si>
  <si>
    <t>TXN-050240</t>
  </si>
  <si>
    <t>TXN-050241</t>
  </si>
  <si>
    <t>TXN-050242</t>
  </si>
  <si>
    <t>TXN-050243</t>
  </si>
  <si>
    <t>TXN-050244</t>
  </si>
  <si>
    <t>TXN-050245</t>
  </si>
  <si>
    <t>TXN-050246</t>
  </si>
  <si>
    <t>TXN-050247</t>
  </si>
  <si>
    <t>TXN-050248</t>
  </si>
  <si>
    <t>TXN-050249</t>
  </si>
  <si>
    <t>TXN-050250</t>
  </si>
  <si>
    <t>TXN-050251</t>
  </si>
  <si>
    <t>TXN-050252</t>
  </si>
  <si>
    <t>TXN-050253</t>
  </si>
  <si>
    <t>TXN-050254</t>
  </si>
  <si>
    <t>TXN-050255</t>
  </si>
  <si>
    <t>TXN-050256</t>
  </si>
  <si>
    <t>TXN-050257</t>
  </si>
  <si>
    <t>TXN-050258</t>
  </si>
  <si>
    <t>TXN-050259</t>
  </si>
  <si>
    <t>TXN-050260</t>
  </si>
  <si>
    <t>TXN-050261</t>
  </si>
  <si>
    <t>TXN-050262</t>
  </si>
  <si>
    <t>TXN-050263</t>
  </si>
  <si>
    <t>TXN-050264</t>
  </si>
  <si>
    <t>TXN-050265</t>
  </si>
  <si>
    <t>TXN-050266</t>
  </si>
  <si>
    <t>internet banking</t>
  </si>
  <si>
    <t>TXN-050267</t>
  </si>
  <si>
    <t>TXN-050268</t>
  </si>
  <si>
    <t>06/06/2026</t>
  </si>
  <si>
    <t>TXN-050269</t>
  </si>
  <si>
    <t>TXN-050270</t>
  </si>
  <si>
    <t>TXN-050271</t>
  </si>
  <si>
    <t>TXN-050272</t>
  </si>
  <si>
    <t>TXN-050273</t>
  </si>
  <si>
    <t>TXN-050274</t>
  </si>
  <si>
    <t>TXN-050275</t>
  </si>
  <si>
    <t>TXN-050276</t>
  </si>
  <si>
    <t>TXN-050277</t>
  </si>
  <si>
    <t>TXN-050278</t>
  </si>
  <si>
    <t>TXN-050279</t>
  </si>
  <si>
    <t>TXN-050280</t>
  </si>
  <si>
    <t>TXN-050281</t>
  </si>
  <si>
    <t>TXN-050282</t>
  </si>
  <si>
    <t>TXN-050283</t>
  </si>
  <si>
    <t>TXN-050284</t>
  </si>
  <si>
    <t>TXN-050285</t>
  </si>
  <si>
    <t>TXN-050286</t>
  </si>
  <si>
    <t>TXN-050287</t>
  </si>
  <si>
    <t>TXN-050288</t>
  </si>
  <si>
    <t>Sukkurr</t>
  </si>
  <si>
    <t>TXN-050289</t>
  </si>
  <si>
    <t>TXN-050290</t>
  </si>
  <si>
    <t>TXN-050291</t>
  </si>
  <si>
    <t>TXN-050292</t>
  </si>
  <si>
    <t>TXN-050293</t>
  </si>
  <si>
    <t>TXN-050294</t>
  </si>
  <si>
    <t>TXN-050295</t>
  </si>
  <si>
    <t>TXN-050296</t>
  </si>
  <si>
    <t>TXN-050297</t>
  </si>
  <si>
    <t>TXN-050298</t>
  </si>
  <si>
    <t>TXN-050299</t>
  </si>
  <si>
    <t>TXN-050300</t>
  </si>
  <si>
    <t>TXN-050301</t>
  </si>
  <si>
    <t>TXN-050302</t>
  </si>
  <si>
    <t>TXN-050303</t>
  </si>
  <si>
    <t>TXN-050304</t>
  </si>
  <si>
    <t>TXN-050305</t>
  </si>
  <si>
    <t>TXN-050306</t>
  </si>
  <si>
    <t>TXN-050307</t>
  </si>
  <si>
    <t>TXN-050308</t>
  </si>
  <si>
    <t>TXN-050309</t>
  </si>
  <si>
    <t>TXN-050310</t>
  </si>
  <si>
    <t>TXN-050311</t>
  </si>
  <si>
    <t>TXN-050312</t>
  </si>
  <si>
    <t>TXN-050313</t>
  </si>
  <si>
    <t>TXN-050314</t>
  </si>
  <si>
    <t>TXN-050315</t>
  </si>
  <si>
    <t>TXN-050316</t>
  </si>
  <si>
    <t>TXN-050317</t>
  </si>
  <si>
    <t>TXN-050318</t>
  </si>
  <si>
    <t>TXN-050319</t>
  </si>
  <si>
    <t>atm</t>
  </si>
  <si>
    <t>TXN-050320</t>
  </si>
  <si>
    <t>Done</t>
  </si>
  <si>
    <t>Branch2</t>
  </si>
  <si>
    <t>Sukher</t>
  </si>
  <si>
    <t>City2</t>
  </si>
  <si>
    <t>Customer Segment2</t>
  </si>
  <si>
    <t>Unknown</t>
  </si>
  <si>
    <t>Account Type2</t>
  </si>
  <si>
    <t>Transection Type</t>
  </si>
  <si>
    <t>Channal</t>
  </si>
  <si>
    <t>Status2</t>
  </si>
  <si>
    <t>Relationship Manager2</t>
  </si>
  <si>
    <t xml:space="preserve">Unkown </t>
  </si>
  <si>
    <t>Month-Year</t>
  </si>
  <si>
    <t>01-25</t>
  </si>
  <si>
    <t>01-26</t>
  </si>
  <si>
    <t>02-25</t>
  </si>
  <si>
    <t>02-26</t>
  </si>
  <si>
    <t>03-25</t>
  </si>
  <si>
    <t>03-26</t>
  </si>
  <si>
    <t>04-25</t>
  </si>
  <si>
    <t>04-26</t>
  </si>
  <si>
    <t>05-25</t>
  </si>
  <si>
    <t>05-26</t>
  </si>
  <si>
    <t>06-25</t>
  </si>
  <si>
    <t>06-26</t>
  </si>
  <si>
    <t>07-25</t>
  </si>
  <si>
    <t>07-26</t>
  </si>
  <si>
    <t>08-25</t>
  </si>
  <si>
    <t>08-26</t>
  </si>
  <si>
    <t>09-25</t>
  </si>
  <si>
    <t>09-26</t>
  </si>
  <si>
    <t>10-25</t>
  </si>
  <si>
    <t>10-26</t>
  </si>
  <si>
    <t>11-25</t>
  </si>
  <si>
    <t>11-26</t>
  </si>
  <si>
    <t>12-25</t>
  </si>
  <si>
    <t>12-26</t>
  </si>
  <si>
    <t>Grand Total</t>
  </si>
  <si>
    <t>Row Labels</t>
  </si>
  <si>
    <t>Sum of Amount</t>
  </si>
  <si>
    <t>Average</t>
  </si>
  <si>
    <t>Count of Status</t>
  </si>
  <si>
    <t>Add KPI cards here:
• Total transaction amount : 15847921.42 Rs 
• Total transactions : 321 ID
• Average transaction amount : 660330.0592 avg
• Completed transaction rate : 93.4%</t>
  </si>
  <si>
    <t>Atm</t>
  </si>
  <si>
    <t>Count of Channal</t>
  </si>
  <si>
    <t>Count of Transaction ID</t>
  </si>
  <si>
    <t>Sme</t>
  </si>
  <si>
    <t>Count of Customer Segment</t>
  </si>
  <si>
    <t>Monthly &amp; Yearly Transections</t>
  </si>
  <si>
    <t>Transection By Brach</t>
  </si>
  <si>
    <t>Completed Transection Ratio</t>
  </si>
  <si>
    <t>Channal ID Of Channal Counting</t>
  </si>
  <si>
    <t>Segmant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</si>
</sst>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>
    <font>
      <sz val="11"/>
      <name val="Carlito"/>
    </font>
    <font>
      <b/>
      <sz val="10"/>
      <color rgb="FFFFFFFF"/>
      <name val="Arial"/>
    </font>
    <font>
      <sz val="10"/>
      <color rgb="FF1F2937"/>
      <name val="Arial"/>
    </font>
    <font>
      <b/>
      <sz val="16"/>
      <color rgb="FF1F2937"/>
      <name val="Arial"/>
    </font>
    <font>
      <i/>
      <sz val="10"/>
      <color rgb="FF4B5563"/>
      <name val="Arial"/>
    </font>
    <font>
      <b/>
      <sz val="10"/>
      <color rgb="FF1F2937"/>
      <name val="Arial"/>
    </font>
    <font>
      <sz val="10"/>
      <name val="Arial"/>
    </font>
    <font>
      <sz val="11"/>
      <color rgb="FF64748B"/>
      <name val="Arial"/>
    </font>
    <font>
      <sz val="10"/>
      <color theme="9"/>
      <name val="Arial"/>
      <family val="2"/>
    </font>
    <font>
      <sz val="11"/>
      <color rgb="FF64748B"/>
      <name val="Arial"/>
      <family val="2"/>
    </font>
    <font>
      <sz val="10"/>
      <name val="Arial"/>
      <family val="2"/>
    </font>
    <font>
      <b/>
      <sz val="1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4A5B"/>
      </patternFill>
    </fill>
    <fill>
      <patternFill patternType="solid">
        <fgColor rgb="FFD8EDF1"/>
      </patternFill>
    </fill>
    <fill>
      <patternFill patternType="solid">
        <fgColor rgb="FFF7FBF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4A3B8"/>
      </left>
      <right/>
      <top style="thin">
        <color rgb="FF94A3B8"/>
      </top>
      <bottom/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/>
      <top/>
      <bottom/>
      <diagonal/>
    </border>
    <border>
      <left/>
      <right style="thin">
        <color rgb="FF94A3B8"/>
      </right>
      <top/>
      <bottom/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/>
      <top/>
      <bottom style="thin">
        <color rgb="FF94A3B8"/>
      </bottom>
      <diagonal/>
    </border>
    <border>
      <left/>
      <right style="thin">
        <color rgb="FF94A3B8"/>
      </right>
      <top/>
      <bottom style="thin">
        <color rgb="FF94A3B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/>
    <xf numFmtId="164" fontId="2" fillId="0" borderId="0" xfId="0" applyNumberFormat="1" applyFont="1" applyFill="1" applyBorder="1"/>
    <xf numFmtId="4" fontId="2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1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0" fontId="0" fillId="0" borderId="0" xfId="0"/>
    <xf numFmtId="0" fontId="4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7" fillId="4" borderId="3" xfId="0" applyNumberFormat="1" applyFont="1" applyFill="1" applyBorder="1" applyAlignment="1">
      <alignment vertical="top" wrapText="1"/>
    </xf>
    <xf numFmtId="0" fontId="7" fillId="4" borderId="4" xfId="0" applyNumberFormat="1" applyFont="1" applyFill="1" applyBorder="1" applyAlignment="1">
      <alignment vertical="top" wrapText="1"/>
    </xf>
    <xf numFmtId="0" fontId="7" fillId="4" borderId="5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vertical="top" wrapText="1"/>
    </xf>
    <xf numFmtId="0" fontId="7" fillId="4" borderId="6" xfId="0" applyNumberFormat="1" applyFont="1" applyFill="1" applyBorder="1" applyAlignment="1">
      <alignment vertical="top" wrapText="1"/>
    </xf>
    <xf numFmtId="0" fontId="7" fillId="4" borderId="7" xfId="0" applyNumberFormat="1" applyFont="1" applyFill="1" applyBorder="1" applyAlignment="1">
      <alignment vertical="top" wrapText="1"/>
    </xf>
    <xf numFmtId="0" fontId="7" fillId="4" borderId="8" xfId="0" applyNumberFormat="1" applyFont="1" applyFill="1" applyBorder="1" applyAlignment="1">
      <alignment vertical="top" wrapText="1"/>
    </xf>
    <xf numFmtId="0" fontId="7" fillId="4" borderId="9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/>
    <xf numFmtId="0" fontId="0" fillId="0" borderId="0" xfId="0" applyAlignment="1">
      <alignment horizontal="left"/>
    </xf>
    <xf numFmtId="0" fontId="1" fillId="5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9" fillId="4" borderId="2" xfId="0" applyNumberFormat="1" applyFont="1" applyFill="1" applyBorder="1" applyAlignment="1">
      <alignment vertical="top" wrapText="1"/>
    </xf>
    <xf numFmtId="0" fontId="10" fillId="0" borderId="1" xfId="0" applyNumberFormat="1" applyFont="1" applyFill="1" applyBorder="1"/>
    <xf numFmtId="0" fontId="8" fillId="6" borderId="11" xfId="0" applyNumberFormat="1" applyFont="1" applyFill="1" applyBorder="1"/>
    <xf numFmtId="164" fontId="8" fillId="6" borderId="11" xfId="0" applyNumberFormat="1" applyFont="1" applyFill="1" applyBorder="1" applyAlignment="1">
      <alignment horizontal="left"/>
    </xf>
    <xf numFmtId="164" fontId="8" fillId="6" borderId="11" xfId="0" applyNumberFormat="1" applyFont="1" applyFill="1" applyBorder="1"/>
    <xf numFmtId="4" fontId="8" fillId="6" borderId="11" xfId="0" applyNumberFormat="1" applyFont="1" applyFill="1" applyBorder="1"/>
    <xf numFmtId="0" fontId="8" fillId="6" borderId="11" xfId="0" applyNumberFormat="1" applyFont="1" applyFill="1" applyBorder="1" applyAlignment="1">
      <alignment horizontal="right"/>
    </xf>
    <xf numFmtId="0" fontId="11" fillId="7" borderId="0" xfId="0" applyFont="1" applyFill="1" applyAlignment="1">
      <alignment horizontal="centerContinuous" vertical="center"/>
    </xf>
    <xf numFmtId="0" fontId="0" fillId="0" borderId="11" xfId="0" applyBorder="1" applyAlignment="1">
      <alignment horizontal="left"/>
    </xf>
    <xf numFmtId="0" fontId="0" fillId="0" borderId="11" xfId="0" applyNumberFormat="1" applyBorder="1"/>
    <xf numFmtId="0" fontId="11" fillId="7" borderId="0" xfId="0" applyFont="1" applyFill="1" applyAlignment="1">
      <alignment horizontal="centerContinuous"/>
    </xf>
  </cellXfs>
  <cellStyles count="1">
    <cellStyle name="Normal" xfId="0" builtinId="0"/>
  </cellStyles>
  <dxfs count="4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/>
        <name val="Arial"/>
        <scheme val="none"/>
      </font>
      <numFmt numFmtId="164" formatCode="yyyy\-mm\-dd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trike val="0"/>
        <outline val="0"/>
        <shadow val="0"/>
        <u val="none"/>
        <vertAlign val="baseline"/>
        <sz val="10"/>
        <color theme="9"/>
        <name val="Arial"/>
        <scheme val="none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94.541726157404" createdVersion="6" refreshedVersion="6" minRefreshableVersion="3" recordCount="320">
  <cacheSource type="worksheet">
    <worksheetSource name="RawBankingTable3"/>
  </cacheSource>
  <cacheFields count="20">
    <cacheField name="Transaction ID" numFmtId="0">
      <sharedItems count="320">
        <s v="TXN-050001"/>
        <s v="TXN-050002"/>
        <s v="TXN-050003"/>
        <s v="TXN-050004"/>
        <s v="TXN-050005"/>
        <s v="TXN-050006"/>
        <s v="TXN-050007"/>
        <s v="TXN-050008"/>
        <s v="TXN-050009"/>
        <s v="TXN-050010"/>
        <s v="TXN-050011"/>
        <s v="TXN-050012"/>
        <s v="TXN-050013"/>
        <s v="TXN-050014"/>
        <s v="TXN-050015"/>
        <s v="TXN-050016"/>
        <s v="TXN-050017"/>
        <s v="TXN-050018"/>
        <s v="TXN-050019"/>
        <s v="TXN-050020"/>
        <s v="TXN-050021"/>
        <s v="TXN-050022"/>
        <s v="TXN-050023"/>
        <s v="TXN-050024"/>
        <s v="TXN-050025"/>
        <s v="TXN-050026"/>
        <s v="TXN-050027"/>
        <s v="TXN-050028"/>
        <s v="TXN-050029"/>
        <s v="TXN-050030"/>
        <s v="TXN-050031"/>
        <s v="TXN-050032"/>
        <s v="TXN-050033"/>
        <s v="TXN-050034"/>
        <s v="TXN-050035"/>
        <s v="TXN-050036"/>
        <s v="TXN-050037"/>
        <s v="TXN-050038"/>
        <s v="TXN-050039"/>
        <s v="TXN-050040"/>
        <s v="TXN-050041"/>
        <s v="TXN-050042"/>
        <s v="TXN-050043"/>
        <s v="TXN-050044"/>
        <s v="TXN-050045"/>
        <s v="TXN-050046"/>
        <s v="TXN-050047"/>
        <s v="TXN-050048"/>
        <s v="TXN-050049"/>
        <s v="TXN-050050"/>
        <s v="TXN-050051"/>
        <s v="TXN-050052"/>
        <s v="TXN-050053"/>
        <s v="TXN-050054"/>
        <s v="TXN-050055"/>
        <s v="TXN-050056"/>
        <s v="TXN-050057"/>
        <s v="TXN-050058"/>
        <s v="TXN-050059"/>
        <s v="TXN-050060"/>
        <s v="TXN-050061"/>
        <s v="TXN-050062"/>
        <s v="TXN-050063"/>
        <s v="TXN-050064"/>
        <s v="TXN-050065"/>
        <s v="TXN-050066"/>
        <s v="TXN-050067"/>
        <s v="TXN-050068"/>
        <s v="TXN-050069"/>
        <s v="TXN-050070"/>
        <s v="TXN-050071"/>
        <s v="TXN-050072"/>
        <s v="TXN-050073"/>
        <s v="TXN-050074"/>
        <s v="TXN-050075"/>
        <s v="TXN-050076"/>
        <s v="TXN-050077"/>
        <s v="TXN-050078"/>
        <s v="TXN-050079"/>
        <s v="TXN-050080"/>
        <s v="TXN-050081"/>
        <s v="TXN-050082"/>
        <s v="TXN-050083"/>
        <s v="TXN-050084"/>
        <s v="TXN-050085"/>
        <s v="TXN-050086"/>
        <s v="TXN-050087"/>
        <s v="TXN-050088"/>
        <s v="TXN-050089"/>
        <s v="TXN-050090"/>
        <s v="TXN-050091"/>
        <s v="TXN-050092"/>
        <s v="TXN-050093"/>
        <s v="TXN-050094"/>
        <s v="TXN-050095"/>
        <s v="TXN-050096"/>
        <s v="TXN-050097"/>
        <s v="TXN-050098"/>
        <s v="TXN-050099"/>
        <s v="TXN-050100"/>
        <s v="TXN-050101"/>
        <s v="TXN-050102"/>
        <s v="TXN-050103"/>
        <s v="TXN-050104"/>
        <s v="TXN-050105"/>
        <s v="TXN-050106"/>
        <s v="TXN-050107"/>
        <s v="TXN-050108"/>
        <s v="TXN-050109"/>
        <s v="TXN-050110"/>
        <s v="TXN-050111"/>
        <s v="TXN-050112"/>
        <s v="TXN-050113"/>
        <s v="TXN-050114"/>
        <s v="TXN-050115"/>
        <s v="TXN-050116"/>
        <s v="TXN-050117"/>
        <s v="TXN-050118"/>
        <s v="TXN-050119"/>
        <s v="TXN-050120"/>
        <s v="TXN-050121"/>
        <s v="TXN-050122"/>
        <s v="TXN-050123"/>
        <s v="TXN-050124"/>
        <s v="TXN-050125"/>
        <s v="TXN-050126"/>
        <s v="TXN-050127"/>
        <s v="TXN-050128"/>
        <s v="TXN-050129"/>
        <s v="TXN-050130"/>
        <s v="TXN-050131"/>
        <s v="TXN-050132"/>
        <s v="TXN-050133"/>
        <s v="TXN-050134"/>
        <s v="TXN-050135"/>
        <s v="TXN-050136"/>
        <s v="TXN-050137"/>
        <s v="TXN-050138"/>
        <s v="TXN-050139"/>
        <s v="TXN-050140"/>
        <s v="TXN-050141"/>
        <s v="TXN-050142"/>
        <s v="TXN-050143"/>
        <s v="TXN-050144"/>
        <s v="TXN-050145"/>
        <s v="TXN-050146"/>
        <s v="TXN-050147"/>
        <s v="TXN-050148"/>
        <s v="TXN-050149"/>
        <s v="TXN-050150"/>
        <s v="TXN-050151"/>
        <s v="TXN-050152"/>
        <s v="TXN-050153"/>
        <s v="TXN-050154"/>
        <s v="TXN-050155"/>
        <s v="TXN-050156"/>
        <s v="TXN-050157"/>
        <s v="TXN-050158"/>
        <s v="TXN-050159"/>
        <s v="TXN-050160"/>
        <s v="TXN-050161"/>
        <s v="TXN-050162"/>
        <s v="TXN-050163"/>
        <s v="TXN-050164"/>
        <s v="TXN-050165"/>
        <s v="TXN-050166"/>
        <s v="TXN-050167"/>
        <s v="TXN-050168"/>
        <s v="TXN-050169"/>
        <s v="TXN-050170"/>
        <s v="TXN-050171"/>
        <s v="TXN-050172"/>
        <s v="TXN-050173"/>
        <s v="TXN-050174"/>
        <s v="TXN-050175"/>
        <s v="TXN-050176"/>
        <s v="TXN-050177"/>
        <s v="TXN-050178"/>
        <s v="TXN-050179"/>
        <s v="TXN-050180"/>
        <s v="TXN-050181"/>
        <s v="TXN-050182"/>
        <s v="TXN-050183"/>
        <s v="TXN-050184"/>
        <s v="TXN-050185"/>
        <s v="TXN-050186"/>
        <s v="TXN-050187"/>
        <s v="TXN-050188"/>
        <s v="TXN-050189"/>
        <s v="TXN-050190"/>
        <s v="TXN-050191"/>
        <s v="TXN-050192"/>
        <s v="TXN-050193"/>
        <s v="TXN-050194"/>
        <s v="TXN-050195"/>
        <s v="TXN-050196"/>
        <s v="TXN-050197"/>
        <s v="TXN-050198"/>
        <s v="TXN-050199"/>
        <s v="TXN-050200"/>
        <s v="TXN-050201"/>
        <s v="TXN-050202"/>
        <s v="TXN-050203"/>
        <s v="TXN-050204"/>
        <s v="TXN-050205"/>
        <s v="TXN-050206"/>
        <s v="TXN-050207"/>
        <s v="TXN-050208"/>
        <s v="TXN-050209"/>
        <s v="TXN-050210"/>
        <s v="TXN-050211"/>
        <s v="TXN-050212"/>
        <s v="TXN-050213"/>
        <s v="TXN-050214"/>
        <s v="TXN-050215"/>
        <s v="TXN-050216"/>
        <s v="TXN-050217"/>
        <s v="TXN-050218"/>
        <s v="TXN-050219"/>
        <s v="TXN-050220"/>
        <s v="TXN-050221"/>
        <s v="TXN-050222"/>
        <s v="TXN-050223"/>
        <s v="TXN-050224"/>
        <s v="TXN-050225"/>
        <s v="TXN-050226"/>
        <s v="TXN-050227"/>
        <s v="TXN-050228"/>
        <s v="TXN-050229"/>
        <s v="TXN-050230"/>
        <s v="TXN-050231"/>
        <s v="TXN-050232"/>
        <s v="TXN-050233"/>
        <s v="TXN-050234"/>
        <s v="TXN-050235"/>
        <s v="TXN-050236"/>
        <s v="TXN-050237"/>
        <s v="TXN-050238"/>
        <s v="TXN-050239"/>
        <s v="TXN-050240"/>
        <s v="TXN-050241"/>
        <s v="TXN-050242"/>
        <s v="TXN-050243"/>
        <s v="TXN-050244"/>
        <s v="TXN-050245"/>
        <s v="TXN-050246"/>
        <s v="TXN-050247"/>
        <s v="TXN-050248"/>
        <s v="TXN-050249"/>
        <s v="TXN-050250"/>
        <s v="TXN-050251"/>
        <s v="TXN-050252"/>
        <s v="TXN-050253"/>
        <s v="TXN-050254"/>
        <s v="TXN-050255"/>
        <s v="TXN-050256"/>
        <s v="TXN-050257"/>
        <s v="TXN-050258"/>
        <s v="TXN-050259"/>
        <s v="TXN-050260"/>
        <s v="TXN-050261"/>
        <s v="TXN-050262"/>
        <s v="TXN-050263"/>
        <s v="TXN-050264"/>
        <s v="TXN-050265"/>
        <s v="TXN-050266"/>
        <s v="TXN-050267"/>
        <s v="TXN-050268"/>
        <s v="TXN-050269"/>
        <s v="TXN-050270"/>
        <s v="TXN-050271"/>
        <s v="TXN-050272"/>
        <s v="TXN-050273"/>
        <s v="TXN-050274"/>
        <s v="TXN-050275"/>
        <s v="TXN-050276"/>
        <s v="TXN-050277"/>
        <s v="TXN-050278"/>
        <s v="TXN-050279"/>
        <s v="TXN-050280"/>
        <s v="TXN-050281"/>
        <s v="TXN-050282"/>
        <s v="TXN-050283"/>
        <s v="TXN-050284"/>
        <s v="TXN-050285"/>
        <s v="TXN-050286"/>
        <s v="TXN-050287"/>
        <s v="TXN-050288"/>
        <s v="TXN-050289"/>
        <s v="TXN-050290"/>
        <s v="TXN-050291"/>
        <s v="TXN-050292"/>
        <s v="TXN-050293"/>
        <s v="TXN-050294"/>
        <s v="TXN-050295"/>
        <s v="TXN-050296"/>
        <s v="TXN-050297"/>
        <s v="TXN-050298"/>
        <s v="TXN-050299"/>
        <s v="TXN-050300"/>
        <s v="TXN-050301"/>
        <s v="TXN-050302"/>
        <s v="TXN-050303"/>
        <s v="TXN-050304"/>
        <s v="TXN-050305"/>
        <s v="TXN-050306"/>
        <s v="TXN-050307"/>
        <s v="TXN-050308"/>
        <s v="TXN-050309"/>
        <s v="TXN-050310"/>
        <s v="TXN-050311"/>
        <s v="TXN-050312"/>
        <s v="TXN-050313"/>
        <s v="TXN-050314"/>
        <s v="TXN-050315"/>
        <s v="TXN-050316"/>
        <s v="TXN-050317"/>
        <s v="TXN-050318"/>
        <s v="TXN-050319"/>
        <s v="TXN-050320"/>
      </sharedItems>
    </cacheField>
    <cacheField name="Month-Year" numFmtId="0">
      <sharedItems count="24">
        <s v="10-26"/>
        <s v="05-25"/>
        <s v="02-25"/>
        <s v="01-26"/>
        <s v="07-25"/>
        <s v="01-25"/>
        <s v="07-26"/>
        <s v="06-25"/>
        <s v="08-25"/>
        <s v="03-26"/>
        <s v="03-25"/>
        <s v="02-26"/>
        <s v="04-25"/>
        <s v="06-26"/>
        <s v="09-25"/>
        <s v="08-26"/>
        <s v="10-25"/>
        <s v="11-25"/>
        <s v="12-25"/>
        <s v="11-26"/>
        <s v="05-26"/>
        <s v="09-26"/>
        <s v="12-26"/>
        <s v="04-26"/>
      </sharedItems>
    </cacheField>
    <cacheField name="Transaction Date" numFmtId="164">
      <sharedItems containsSemiMixedTypes="0" containsNonDate="0" containsDate="1" containsString="0" minDate="2025-01-02T00:00:00" maxDate="2026-12-26T00:00:00"/>
    </cacheField>
    <cacheField name="Branch" numFmtId="164">
      <sharedItems count="5">
        <s v="Sukher"/>
        <s v="Larkana"/>
        <s v="Hyderabad"/>
        <s v="Nawabshah"/>
        <s v="Karachi Main"/>
      </sharedItems>
    </cacheField>
    <cacheField name="Branch2" numFmtId="0">
      <sharedItems/>
    </cacheField>
    <cacheField name="City" numFmtId="0">
      <sharedItems/>
    </cacheField>
    <cacheField name="City2" numFmtId="0">
      <sharedItems/>
    </cacheField>
    <cacheField name="Customer Segment" numFmtId="0">
      <sharedItems count="5">
        <s v="Retail"/>
        <s v="Premium"/>
        <s v="Sme"/>
        <s v="Corporate"/>
        <s v="Unknown"/>
      </sharedItems>
    </cacheField>
    <cacheField name="Customer Segment2" numFmtId="0">
      <sharedItems/>
    </cacheField>
    <cacheField name="Account Type" numFmtId="0">
      <sharedItems/>
    </cacheField>
    <cacheField name="Account Type2" numFmtId="0">
      <sharedItems/>
    </cacheField>
    <cacheField name="Transection Type" numFmtId="0">
      <sharedItems/>
    </cacheField>
    <cacheField name="Transaction Type" numFmtId="0">
      <sharedItems/>
    </cacheField>
    <cacheField name="Channal" numFmtId="0">
      <sharedItems count="4">
        <s v="Mobile App"/>
        <s v="Atm"/>
        <s v="Branch"/>
        <s v="Internet Banking"/>
      </sharedItems>
    </cacheField>
    <cacheField name="Channel" numFmtId="0">
      <sharedItems/>
    </cacheField>
    <cacheField name="Amount" numFmtId="4">
      <sharedItems containsSemiMixedTypes="0" containsString="0" containsNumber="1" minValue="635.1" maxValue="175378.21"/>
    </cacheField>
    <cacheField name="Fee" numFmtId="4">
      <sharedItems containsSemiMixedTypes="0" containsString="0" containsNumber="1" minValue="0" maxValue="184.85"/>
    </cacheField>
    <cacheField name="Status" numFmtId="4">
      <sharedItems count="2">
        <s v="Completed"/>
        <s v="Pending"/>
      </sharedItems>
    </cacheField>
    <cacheField name="Status2" numFmtId="0">
      <sharedItems/>
    </cacheField>
    <cacheField name="Relationship Manager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0">
  <r>
    <x v="0"/>
    <x v="0"/>
    <d v="2026-10-11T00:00:00"/>
    <x v="0"/>
    <s v="Sukher"/>
    <s v="Sukher"/>
    <s v="Sukher"/>
    <x v="0"/>
    <s v="retail"/>
    <s v="Salary"/>
    <s v="salary"/>
    <s v="Deposit"/>
    <s v="Deposit"/>
    <x v="0"/>
    <s v="mobile app"/>
    <n v="94009.99"/>
    <n v="0"/>
    <x v="0"/>
    <s v="Completed"/>
    <s v="Iqra"/>
  </r>
  <r>
    <x v="1"/>
    <x v="1"/>
    <d v="2025-05-04T00:00:00"/>
    <x v="1"/>
    <s v="Larkana"/>
    <s v="Larkana"/>
    <s v="Larkana"/>
    <x v="1"/>
    <s v="Premium"/>
    <s v="Current"/>
    <s v="Current"/>
    <s v="Bill Payment"/>
    <s v="Bill Payment"/>
    <x v="1"/>
    <s v="ATM"/>
    <n v="24511.38"/>
    <n v="20.48"/>
    <x v="0"/>
    <s v="Completed"/>
    <s v="Maham"/>
  </r>
  <r>
    <x v="2"/>
    <x v="2"/>
    <d v="2025-02-04T00:00:00"/>
    <x v="0"/>
    <s v="Sukher"/>
    <s v="Sukher"/>
    <s v="Sukher"/>
    <x v="2"/>
    <s v="SME"/>
    <s v="Salary"/>
    <s v="salary"/>
    <s v="Deposit"/>
    <s v="Deposit"/>
    <x v="2"/>
    <s v="Branch"/>
    <n v="109761.33"/>
    <n v="0"/>
    <x v="0"/>
    <s v="Completed"/>
    <s v="Farhan"/>
  </r>
  <r>
    <x v="3"/>
    <x v="3"/>
    <d v="2026-01-08T00:00:00"/>
    <x v="0"/>
    <s v="Sukher"/>
    <s v="Sukher"/>
    <s v="Sukher"/>
    <x v="1"/>
    <s v="Premium"/>
    <s v="Salary"/>
    <s v="salary"/>
    <s v="Deposit"/>
    <s v="Deposit"/>
    <x v="2"/>
    <s v="Branch"/>
    <n v="13565.73"/>
    <n v="0"/>
    <x v="0"/>
    <s v="Completed"/>
    <s v="Iqra"/>
  </r>
  <r>
    <x v="4"/>
    <x v="4"/>
    <d v="2025-07-13T00:00:00"/>
    <x v="0"/>
    <s v="Sukher"/>
    <s v="Sukher"/>
    <s v="Sukher"/>
    <x v="1"/>
    <s v="Premium"/>
    <s v="Current"/>
    <s v="Current"/>
    <s v="Withdrawal"/>
    <s v="Withdrawal"/>
    <x v="0"/>
    <s v="mobile app"/>
    <n v="8299.52"/>
    <n v="0"/>
    <x v="0"/>
    <s v="Completed"/>
    <s v="Maham"/>
  </r>
  <r>
    <x v="5"/>
    <x v="5"/>
    <d v="2025-01-14T00:00:00"/>
    <x v="2"/>
    <s v="Hyderabad"/>
    <s v="Hyderabad"/>
    <s v="Hyderabad"/>
    <x v="3"/>
    <s v="Corporate"/>
    <s v="Salary"/>
    <s v="salary"/>
    <s v="Deposit"/>
    <s v="Deposit"/>
    <x v="2"/>
    <s v="Branch"/>
    <n v="84865.27"/>
    <n v="0"/>
    <x v="0"/>
    <s v="Completed"/>
    <s v="Sana"/>
  </r>
  <r>
    <x v="6"/>
    <x v="6"/>
    <d v="2026-07-15T00:00:00"/>
    <x v="3"/>
    <s v="Nawabshah"/>
    <s v="Shaheed Benazirabad"/>
    <s v="Shaheed Benazirabad"/>
    <x v="3"/>
    <s v="Corporate"/>
    <s v="Savings"/>
    <s v="Savings"/>
    <s v="Withdrawal"/>
    <s v="Withdrawal"/>
    <x v="2"/>
    <s v="Branch"/>
    <n v="24858.63"/>
    <n v="0"/>
    <x v="0"/>
    <s v="Completed"/>
    <s v="Bilal"/>
  </r>
  <r>
    <x v="7"/>
    <x v="7"/>
    <d v="2025-06-01T00:00:00"/>
    <x v="3"/>
    <s v="Nawabshah"/>
    <s v="Shaheed Benazirabad"/>
    <s v="Shaheed Benazirabad"/>
    <x v="2"/>
    <s v="SME"/>
    <s v="Salary"/>
    <s v="salary"/>
    <s v="Deposit"/>
    <s v="Deposit"/>
    <x v="2"/>
    <s v="Branch"/>
    <n v="2855.22"/>
    <n v="0"/>
    <x v="0"/>
    <s v="Completed"/>
    <s v="Bilal"/>
  </r>
  <r>
    <x v="8"/>
    <x v="8"/>
    <d v="2025-08-03T00:00:00"/>
    <x v="4"/>
    <s v="Karachi Main"/>
    <s v="Karachi"/>
    <s v="Karachi"/>
    <x v="1"/>
    <s v="Premium"/>
    <s v="Savings"/>
    <s v="Savings"/>
    <s v="Withdrawal"/>
    <s v="Withdrawal"/>
    <x v="2"/>
    <s v="Branch"/>
    <n v="40210.07"/>
    <n v="0"/>
    <x v="0"/>
    <s v="Completed"/>
    <s v="Ahmed"/>
  </r>
  <r>
    <x v="9"/>
    <x v="9"/>
    <d v="2026-03-05T00:00:00"/>
    <x v="4"/>
    <s v="Karachi Main"/>
    <s v="Karachi"/>
    <s v="Karachi"/>
    <x v="0"/>
    <s v="retail"/>
    <s v="Savings"/>
    <s v="Savings"/>
    <s v="Bill Payment"/>
    <s v="Bill Payment"/>
    <x v="3"/>
    <s v="Internet Banking"/>
    <n v="17849.52"/>
    <n v="96.07"/>
    <x v="0"/>
    <s v="Completed"/>
    <s v="Ahmed"/>
  </r>
  <r>
    <x v="10"/>
    <x v="10"/>
    <d v="2025-03-20T00:00:00"/>
    <x v="3"/>
    <s v="Nawabshah"/>
    <s v="Shaheed Benazirabad"/>
    <s v="Shaheed Benazirabad"/>
    <x v="1"/>
    <s v="Premium"/>
    <s v="Savings"/>
    <s v="Savings"/>
    <s v="Bill Payment"/>
    <s v="Bill Payment"/>
    <x v="1"/>
    <s v="ATM"/>
    <n v="19526.53"/>
    <n v="38.28"/>
    <x v="0"/>
    <s v="Completed"/>
    <s v="Iqra"/>
  </r>
  <r>
    <x v="11"/>
    <x v="10"/>
    <d v="2025-03-26T00:00:00"/>
    <x v="2"/>
    <s v="Hyderabad"/>
    <s v="Hyderabad"/>
    <s v="Hyderabad"/>
    <x v="1"/>
    <s v="Premium"/>
    <s v="Savings"/>
    <s v="Savings"/>
    <s v="Deposit"/>
    <s v="Deposit"/>
    <x v="3"/>
    <s v="Internet Banking"/>
    <n v="110247.27"/>
    <n v="0"/>
    <x v="0"/>
    <s v="Completed"/>
    <s v="Maham"/>
  </r>
  <r>
    <x v="12"/>
    <x v="11"/>
    <d v="2026-02-03T00:00:00"/>
    <x v="1"/>
    <s v="Larkana"/>
    <s v="Larkana"/>
    <s v="Larkana"/>
    <x v="3"/>
    <s v="Corporate"/>
    <s v="Savings"/>
    <s v="Savings"/>
    <s v="Bill Payment"/>
    <s v="Bill Payment"/>
    <x v="2"/>
    <s v="Branch"/>
    <n v="3105.67"/>
    <n v="64.62"/>
    <x v="0"/>
    <s v="Completed"/>
    <s v="Farhan"/>
  </r>
  <r>
    <x v="13"/>
    <x v="12"/>
    <d v="2025-04-16T00:00:00"/>
    <x v="4"/>
    <s v="Karachi Main"/>
    <s v="Karachi"/>
    <s v="Karachi"/>
    <x v="1"/>
    <s v="Premium"/>
    <s v="Current"/>
    <s v="Current"/>
    <s v="Transfer"/>
    <s v="Transfer"/>
    <x v="0"/>
    <s v="mobile app"/>
    <n v="117835.85"/>
    <n v="59.46"/>
    <x v="1"/>
    <s v="Pending"/>
    <s v="Iqra"/>
  </r>
  <r>
    <x v="14"/>
    <x v="1"/>
    <d v="2025-05-20T00:00:00"/>
    <x v="2"/>
    <s v="Hyderabad"/>
    <s v="Hyderabad"/>
    <s v="Hyderabad"/>
    <x v="3"/>
    <s v="Corporate"/>
    <s v="Salary"/>
    <s v="salary"/>
    <s v="Deposit"/>
    <s v="Deposit"/>
    <x v="0"/>
    <s v="mobile app"/>
    <n v="18368.27"/>
    <n v="0"/>
    <x v="0"/>
    <s v="Completed"/>
    <s v="Bilal"/>
  </r>
  <r>
    <x v="15"/>
    <x v="13"/>
    <d v="2026-06-14T00:00:00"/>
    <x v="2"/>
    <s v="Hyderabad"/>
    <s v="Hyderabad"/>
    <s v="Hyderabad"/>
    <x v="2"/>
    <s v="SME"/>
    <s v="Salary"/>
    <s v="salary"/>
    <s v="Bill Payment"/>
    <s v="Bill Payment"/>
    <x v="2"/>
    <s v="Branch"/>
    <n v="9821.1"/>
    <n v="96.16"/>
    <x v="0"/>
    <s v="Completed"/>
    <s v="Sana"/>
  </r>
  <r>
    <x v="16"/>
    <x v="1"/>
    <d v="2025-05-18T00:00:00"/>
    <x v="1"/>
    <s v="Larkana"/>
    <s v="Larkana"/>
    <s v="Larkana"/>
    <x v="2"/>
    <s v="SME"/>
    <s v="Savings"/>
    <s v="Savings"/>
    <s v="Withdrawal"/>
    <s v="Withdrawal"/>
    <x v="3"/>
    <s v="Internet Banking"/>
    <n v="43074.16"/>
    <n v="0"/>
    <x v="0"/>
    <s v="Completed"/>
    <s v="Maham"/>
  </r>
  <r>
    <x v="17"/>
    <x v="14"/>
    <d v="2025-09-19T00:00:00"/>
    <x v="4"/>
    <s v="Karachi Main"/>
    <s v="Karachi"/>
    <s v="Karachi"/>
    <x v="1"/>
    <s v="Premium"/>
    <s v="Current"/>
    <s v="Current"/>
    <s v="Deposit"/>
    <s v="Deposit"/>
    <x v="2"/>
    <s v="Branch"/>
    <n v="27541.82"/>
    <n v="0"/>
    <x v="0"/>
    <s v="Completed"/>
    <s v="Ahmed"/>
  </r>
  <r>
    <x v="18"/>
    <x v="15"/>
    <d v="2026-08-20T00:00:00"/>
    <x v="0"/>
    <s v="Sukher"/>
    <s v="Sukher"/>
    <s v="Sukher"/>
    <x v="2"/>
    <s v="SME"/>
    <s v="Salary"/>
    <s v="salary"/>
    <s v="Deposit"/>
    <s v="Deposit"/>
    <x v="0"/>
    <s v="mobile app"/>
    <n v="39396.080000000002"/>
    <n v="0"/>
    <x v="0"/>
    <s v="Completed"/>
    <s v="Ahmed"/>
  </r>
  <r>
    <x v="19"/>
    <x v="16"/>
    <d v="2025-10-05T00:00:00"/>
    <x v="4"/>
    <s v="Karachi Main"/>
    <s v="Karachi"/>
    <s v="Karachi"/>
    <x v="0"/>
    <s v="retail"/>
    <s v="Salary"/>
    <s v="salary"/>
    <s v="Transfer"/>
    <s v="Transfer"/>
    <x v="3"/>
    <s v="Internet Banking"/>
    <n v="114741.34"/>
    <n v="81.650000000000006"/>
    <x v="0"/>
    <s v="Completed"/>
    <s v="Ahmed"/>
  </r>
  <r>
    <x v="20"/>
    <x v="17"/>
    <d v="2025-11-23T00:00:00"/>
    <x v="0"/>
    <s v="Sukher"/>
    <s v="Sukher"/>
    <s v="Sukher"/>
    <x v="1"/>
    <s v="Premium"/>
    <s v="Current"/>
    <s v="Current"/>
    <s v="Deposit"/>
    <s v="Deposit"/>
    <x v="3"/>
    <s v="Internet Banking"/>
    <n v="69775.89"/>
    <n v="0"/>
    <x v="0"/>
    <s v="Completed"/>
    <s v="Iqra"/>
  </r>
  <r>
    <x v="21"/>
    <x v="13"/>
    <d v="2026-06-05T00:00:00"/>
    <x v="3"/>
    <s v="Nawabshah"/>
    <s v="Shaheed Benazirabad"/>
    <s v="Shaheed Benazirabad"/>
    <x v="1"/>
    <s v="Premium"/>
    <s v="Current"/>
    <s v="Current"/>
    <s v="Bill Payment"/>
    <s v="Bill Payment"/>
    <x v="1"/>
    <s v="ATM"/>
    <n v="14782.21"/>
    <n v="60.03"/>
    <x v="0"/>
    <s v="Completed"/>
    <s v="Maham"/>
  </r>
  <r>
    <x v="22"/>
    <x v="7"/>
    <d v="2025-06-18T00:00:00"/>
    <x v="4"/>
    <s v="Karachi Main"/>
    <s v="Karachi"/>
    <s v="Karachi"/>
    <x v="3"/>
    <s v="Corporate"/>
    <s v="Current"/>
    <s v="Current"/>
    <s v="Withdrawal"/>
    <s v="Withdrawal"/>
    <x v="0"/>
    <s v="mobile app"/>
    <n v="48273.63"/>
    <n v="0"/>
    <x v="0"/>
    <s v="Completed"/>
    <s v="Ahmed"/>
  </r>
  <r>
    <x v="23"/>
    <x v="16"/>
    <d v="2025-10-10T00:00:00"/>
    <x v="2"/>
    <s v="Hyderabad"/>
    <s v="Hyderabad"/>
    <s v="Hyderabad"/>
    <x v="2"/>
    <s v="SME"/>
    <s v="Savings"/>
    <s v="Savings"/>
    <s v="Withdrawal"/>
    <s v="Withdrawal"/>
    <x v="1"/>
    <s v="ATM"/>
    <n v="27726.67"/>
    <n v="0"/>
    <x v="0"/>
    <s v="Completed"/>
    <s v="Farhan"/>
  </r>
  <r>
    <x v="24"/>
    <x v="11"/>
    <d v="2026-02-08T00:00:00"/>
    <x v="1"/>
    <s v="Larkana"/>
    <s v="Larkana"/>
    <s v="Larkana"/>
    <x v="0"/>
    <s v="retail"/>
    <s v="Savings"/>
    <s v="Savings"/>
    <s v="Withdrawal"/>
    <s v="Withdrawal"/>
    <x v="2"/>
    <s v="Branch"/>
    <n v="49817.01"/>
    <n v="0"/>
    <x v="0"/>
    <s v="Completed"/>
    <s v="Bilal"/>
  </r>
  <r>
    <x v="25"/>
    <x v="16"/>
    <d v="2025-10-04T00:00:00"/>
    <x v="4"/>
    <s v="Karachi Main"/>
    <s v="Karachi"/>
    <s v="Karachi"/>
    <x v="2"/>
    <s v="SME"/>
    <s v="Savings"/>
    <s v="Savings"/>
    <s v="Deposit"/>
    <s v="Deposit"/>
    <x v="0"/>
    <s v="mobile app"/>
    <n v="30118.76"/>
    <n v="0"/>
    <x v="0"/>
    <s v="Completed"/>
    <s v="Ahmed"/>
  </r>
  <r>
    <x v="26"/>
    <x v="2"/>
    <d v="2025-02-06T00:00:00"/>
    <x v="3"/>
    <s v="Nawabshah"/>
    <s v="Shaheed Benazirabad"/>
    <s v="Shaheed Benazirabad"/>
    <x v="3"/>
    <s v="Corporate"/>
    <s v="Salary"/>
    <s v="salary"/>
    <s v="Withdrawal"/>
    <s v="Withdrawal"/>
    <x v="2"/>
    <s v="Branch"/>
    <n v="39331.800000000003"/>
    <n v="0"/>
    <x v="0"/>
    <s v="Completed"/>
    <s v="Iqra"/>
  </r>
  <r>
    <x v="27"/>
    <x v="13"/>
    <d v="2026-06-21T00:00:00"/>
    <x v="0"/>
    <s v="Sukher"/>
    <s v="Sukher"/>
    <s v="Sukher"/>
    <x v="0"/>
    <s v="retail"/>
    <s v="Current"/>
    <s v="Current"/>
    <s v="Withdrawal"/>
    <s v="Withdrawal"/>
    <x v="1"/>
    <s v="ATM"/>
    <n v="10600.81"/>
    <n v="0"/>
    <x v="0"/>
    <s v="Completed"/>
    <s v="Iqra"/>
  </r>
  <r>
    <x v="28"/>
    <x v="12"/>
    <d v="2025-04-12T00:00:00"/>
    <x v="2"/>
    <s v="Hyderabad"/>
    <s v="Hyderabad"/>
    <s v="Hyderabad"/>
    <x v="2"/>
    <s v="SME"/>
    <s v="Savings"/>
    <s v="Savings"/>
    <s v="Bill Payment"/>
    <s v="Bill Payment"/>
    <x v="0"/>
    <s v="mobile app"/>
    <n v="29032.58"/>
    <n v="87.94"/>
    <x v="0"/>
    <s v="Completed"/>
    <s v="Maham"/>
  </r>
  <r>
    <x v="29"/>
    <x v="5"/>
    <d v="2025-01-21T00:00:00"/>
    <x v="4"/>
    <s v="Karachi Main"/>
    <s v="Karachi"/>
    <s v="Karachi"/>
    <x v="3"/>
    <s v="Corporate"/>
    <s v="Salary"/>
    <s v="salary"/>
    <s v="Transfer"/>
    <s v="Transfer"/>
    <x v="1"/>
    <s v="ATM"/>
    <n v="137538.19"/>
    <n v="158.58000000000001"/>
    <x v="0"/>
    <s v="Completed"/>
    <s v="Ahmed"/>
  </r>
  <r>
    <x v="30"/>
    <x v="3"/>
    <d v="2026-01-16T00:00:00"/>
    <x v="4"/>
    <s v="Karachi Main"/>
    <s v="Karachi"/>
    <s v="Karachi"/>
    <x v="2"/>
    <s v="SME"/>
    <s v="Savings"/>
    <s v="Savings"/>
    <s v="Withdrawal"/>
    <s v="Withdrawal"/>
    <x v="3"/>
    <s v="Internet Banking"/>
    <n v="21895.279999999999"/>
    <n v="0"/>
    <x v="0"/>
    <s v="Completed"/>
    <s v="Bilal"/>
  </r>
  <r>
    <x v="31"/>
    <x v="4"/>
    <d v="2025-07-27T00:00:00"/>
    <x v="0"/>
    <s v="Sukher"/>
    <s v="Sukher"/>
    <s v="Sukher"/>
    <x v="3"/>
    <s v="Corporate"/>
    <s v="Salary"/>
    <s v="salary"/>
    <s v="Bill Payment"/>
    <s v="Bill Payment"/>
    <x v="0"/>
    <s v="mobile app"/>
    <n v="25932.04"/>
    <n v="10.050000000000001"/>
    <x v="0"/>
    <s v="Completed"/>
    <s v="Sana"/>
  </r>
  <r>
    <x v="32"/>
    <x v="1"/>
    <d v="2025-05-12T00:00:00"/>
    <x v="3"/>
    <s v="Nawabshah"/>
    <s v="Shaheed Benazirabad"/>
    <s v="Shaheed Benazirabad"/>
    <x v="1"/>
    <s v="Premium"/>
    <s v="Salary"/>
    <s v="salary"/>
    <s v="Bill Payment"/>
    <s v="Bill Payment"/>
    <x v="2"/>
    <s v="Branch"/>
    <n v="3817.99"/>
    <n v="77.989999999999995"/>
    <x v="1"/>
    <s v="Pending"/>
    <s v="Ahmed"/>
  </r>
  <r>
    <x v="33"/>
    <x v="3"/>
    <d v="2026-01-17T00:00:00"/>
    <x v="0"/>
    <s v="Sukher"/>
    <s v="Sukher"/>
    <s v="Sukher"/>
    <x v="2"/>
    <s v="SME"/>
    <s v="Current"/>
    <s v="Current"/>
    <s v="Withdrawal"/>
    <s v="Withdrawal"/>
    <x v="2"/>
    <s v="Branch"/>
    <n v="59452.1"/>
    <n v="0"/>
    <x v="0"/>
    <s v="Completed"/>
    <s v="Maham"/>
  </r>
  <r>
    <x v="34"/>
    <x v="2"/>
    <d v="2025-02-25T00:00:00"/>
    <x v="1"/>
    <s v="Larkana"/>
    <s v="Larkana"/>
    <s v="Larkana"/>
    <x v="0"/>
    <s v="retail"/>
    <s v="Salary"/>
    <s v="salary"/>
    <s v="Transfer"/>
    <s v="Transfer"/>
    <x v="1"/>
    <s v="ATM"/>
    <n v="45609.09"/>
    <n v="25.89"/>
    <x v="0"/>
    <s v="Completed"/>
    <s v="Ahmed"/>
  </r>
  <r>
    <x v="35"/>
    <x v="10"/>
    <d v="2025-03-14T00:00:00"/>
    <x v="2"/>
    <s v="Hyderabad"/>
    <s v="Hyderabad"/>
    <s v="Hyderabad"/>
    <x v="2"/>
    <s v="SME"/>
    <s v="Savings"/>
    <s v="Savings"/>
    <s v="Withdrawal"/>
    <s v="Withdrawal"/>
    <x v="1"/>
    <s v="ATM"/>
    <n v="19566.22"/>
    <n v="0"/>
    <x v="0"/>
    <s v="Completed"/>
    <s v="Unkown "/>
  </r>
  <r>
    <x v="36"/>
    <x v="9"/>
    <d v="2026-03-26T00:00:00"/>
    <x v="0"/>
    <s v="Sukher"/>
    <s v="Sukher"/>
    <s v="Sukher"/>
    <x v="0"/>
    <s v="retail"/>
    <s v="Salary"/>
    <s v="salary"/>
    <s v="Transfer"/>
    <s v="Transfer"/>
    <x v="2"/>
    <s v="Branch"/>
    <n v="104195.71"/>
    <n v="74.239999999999995"/>
    <x v="0"/>
    <s v="Completed"/>
    <s v="Farhan"/>
  </r>
  <r>
    <x v="37"/>
    <x v="8"/>
    <d v="2025-08-02T00:00:00"/>
    <x v="2"/>
    <s v="Hyderabad"/>
    <s v="Hyderabad"/>
    <s v="Hyderabad"/>
    <x v="2"/>
    <s v="SME"/>
    <s v="Current"/>
    <s v="Current"/>
    <s v="Withdrawal"/>
    <s v="Withdrawal"/>
    <x v="2"/>
    <s v="Branch"/>
    <n v="42471.41"/>
    <n v="0"/>
    <x v="0"/>
    <s v="Completed"/>
    <s v="Farhan"/>
  </r>
  <r>
    <x v="38"/>
    <x v="16"/>
    <d v="2025-10-26T00:00:00"/>
    <x v="0"/>
    <s v="Sukher"/>
    <s v="Sukher"/>
    <s v="Sukher"/>
    <x v="1"/>
    <s v="Premium"/>
    <s v="Current"/>
    <s v="Current"/>
    <s v="Bill Payment"/>
    <s v="Bill Payment"/>
    <x v="0"/>
    <s v="mobile app"/>
    <n v="10169.24"/>
    <n v="20.93"/>
    <x v="0"/>
    <s v="Completed"/>
    <s v="Bilal"/>
  </r>
  <r>
    <x v="39"/>
    <x v="6"/>
    <d v="2026-07-11T00:00:00"/>
    <x v="3"/>
    <s v="Nawabshah"/>
    <s v="Shaheed Benazirabad"/>
    <s v="Shaheed Benazirabad"/>
    <x v="1"/>
    <s v="Premium"/>
    <s v="Current"/>
    <s v="Current"/>
    <s v="Deposit"/>
    <s v="Deposit"/>
    <x v="1"/>
    <s v="ATM"/>
    <n v="82896.990000000005"/>
    <n v="0"/>
    <x v="0"/>
    <s v="Completed"/>
    <s v="Iqra"/>
  </r>
  <r>
    <x v="40"/>
    <x v="16"/>
    <d v="2025-10-03T00:00:00"/>
    <x v="2"/>
    <s v="Hyderabad"/>
    <s v="Hyderabad"/>
    <s v="Hyderabad"/>
    <x v="2"/>
    <s v="SME"/>
    <s v="Current"/>
    <s v="Current"/>
    <s v="Deposit"/>
    <s v="Deposit"/>
    <x v="3"/>
    <s v="Internet Banking"/>
    <n v="98639.48"/>
    <n v="0"/>
    <x v="0"/>
    <s v="Completed"/>
    <s v="Sana"/>
  </r>
  <r>
    <x v="41"/>
    <x v="12"/>
    <d v="2025-04-06T00:00:00"/>
    <x v="1"/>
    <s v="Larkana"/>
    <s v="Larkana"/>
    <s v="Larkana"/>
    <x v="2"/>
    <s v="SME"/>
    <s v="Salary"/>
    <s v="salary"/>
    <s v="Bill Payment"/>
    <s v="Bill Payment"/>
    <x v="0"/>
    <s v="mobile app"/>
    <n v="3240.83"/>
    <n v="17.420000000000002"/>
    <x v="0"/>
    <s v="Completed"/>
    <s v="Iqra"/>
  </r>
  <r>
    <x v="42"/>
    <x v="0"/>
    <d v="2026-10-16T00:00:00"/>
    <x v="3"/>
    <s v="Nawabshah"/>
    <s v="Shaheed Benazirabad"/>
    <s v="Shaheed Benazirabad"/>
    <x v="0"/>
    <s v="retail"/>
    <s v="Salary"/>
    <s v="salary"/>
    <s v="Transfer"/>
    <s v="Transfer"/>
    <x v="0"/>
    <s v="mobile app"/>
    <n v="107024.83"/>
    <n v="184.85"/>
    <x v="0"/>
    <s v="Completed"/>
    <s v="Farhan"/>
  </r>
  <r>
    <x v="43"/>
    <x v="18"/>
    <d v="2025-12-13T00:00:00"/>
    <x v="1"/>
    <s v="Larkana"/>
    <s v="Larkana"/>
    <s v="Larkana"/>
    <x v="2"/>
    <s v="SME"/>
    <s v="Salary"/>
    <s v="salary"/>
    <s v="Transfer"/>
    <s v="Transfer"/>
    <x v="3"/>
    <s v="Internet Banking"/>
    <n v="131758.1"/>
    <n v="149.22"/>
    <x v="0"/>
    <s v="Completed"/>
    <s v="Bilal"/>
  </r>
  <r>
    <x v="44"/>
    <x v="16"/>
    <d v="2025-10-18T00:00:00"/>
    <x v="0"/>
    <s v="Sukher"/>
    <s v="Sukher"/>
    <s v="Sukher"/>
    <x v="2"/>
    <s v="SME"/>
    <s v="Current"/>
    <s v="Current"/>
    <s v="Bill Payment"/>
    <s v="Bill Payment"/>
    <x v="3"/>
    <s v="Internet Banking"/>
    <n v="13336.49"/>
    <n v="40.04"/>
    <x v="0"/>
    <s v="Completed"/>
    <s v="Sana"/>
  </r>
  <r>
    <x v="45"/>
    <x v="0"/>
    <d v="2026-10-05T00:00:00"/>
    <x v="1"/>
    <s v="Larkana"/>
    <s v="Larkana"/>
    <s v="Larkana"/>
    <x v="0"/>
    <s v="retail"/>
    <s v="Current"/>
    <s v="Current"/>
    <s v="Bill Payment"/>
    <s v="Bill Payment"/>
    <x v="3"/>
    <s v="Internet Banking"/>
    <n v="12867.55"/>
    <n v="81.83"/>
    <x v="0"/>
    <s v="Completed"/>
    <s v="Iqra"/>
  </r>
  <r>
    <x v="46"/>
    <x v="4"/>
    <d v="2025-07-10T00:00:00"/>
    <x v="4"/>
    <s v="Karachi Main"/>
    <s v="Karachi"/>
    <s v="Karachi"/>
    <x v="2"/>
    <s v="SME"/>
    <s v="Savings"/>
    <s v="Savings"/>
    <s v="Withdrawal"/>
    <s v="Withdrawal"/>
    <x v="0"/>
    <s v="mobile app"/>
    <n v="63073.7"/>
    <n v="0"/>
    <x v="0"/>
    <s v="Completed"/>
    <s v="Ahmed"/>
  </r>
  <r>
    <x v="47"/>
    <x v="7"/>
    <d v="2025-06-20T00:00:00"/>
    <x v="2"/>
    <s v="Hyderabad"/>
    <s v="Hyderabad"/>
    <s v="Hyderabad"/>
    <x v="0"/>
    <s v="retail"/>
    <s v="Salary"/>
    <s v="salary"/>
    <s v="Transfer"/>
    <s v="Transfer"/>
    <x v="1"/>
    <s v="ATM"/>
    <n v="55516.160000000003"/>
    <n v="153.78"/>
    <x v="0"/>
    <s v="Completed"/>
    <s v="Sana"/>
  </r>
  <r>
    <x v="48"/>
    <x v="0"/>
    <d v="2026-10-01T00:00:00"/>
    <x v="4"/>
    <s v="Karachi Main"/>
    <s v="Karachi"/>
    <s v="Karachi"/>
    <x v="1"/>
    <s v="Premium"/>
    <s v="Salary"/>
    <s v="salary"/>
    <s v="Bill Payment"/>
    <s v="Bill Payment"/>
    <x v="0"/>
    <s v="mobile app"/>
    <n v="10540.03"/>
    <n v="77.459999999999994"/>
    <x v="0"/>
    <s v="Completed"/>
    <s v="Iqra"/>
  </r>
  <r>
    <x v="49"/>
    <x v="14"/>
    <d v="2025-09-13T00:00:00"/>
    <x v="1"/>
    <s v="Larkana"/>
    <s v="Larkana"/>
    <s v="Larkana"/>
    <x v="3"/>
    <s v="Corporate"/>
    <s v="Savings"/>
    <s v="Savings"/>
    <s v="Deposit"/>
    <s v="Deposit"/>
    <x v="1"/>
    <s v="ATM"/>
    <n v="11668.44"/>
    <n v="0"/>
    <x v="0"/>
    <s v="Completed"/>
    <s v="Iqra"/>
  </r>
  <r>
    <x v="50"/>
    <x v="17"/>
    <d v="2025-11-03T00:00:00"/>
    <x v="1"/>
    <s v="Larkana"/>
    <s v="Larkana"/>
    <s v="Larkana"/>
    <x v="3"/>
    <s v="Corporate"/>
    <s v="Current"/>
    <s v="Current"/>
    <s v="Transfer"/>
    <s v="Transfer"/>
    <x v="3"/>
    <s v="Internet Banking"/>
    <n v="137941.39000000001"/>
    <n v="178.91"/>
    <x v="0"/>
    <s v="Completed"/>
    <s v="Bilal"/>
  </r>
  <r>
    <x v="51"/>
    <x v="19"/>
    <d v="2026-11-17T00:00:00"/>
    <x v="0"/>
    <s v="Sukher"/>
    <s v="Sukher"/>
    <s v="Sukher"/>
    <x v="3"/>
    <s v="Corporate"/>
    <s v="Savings"/>
    <s v="Savings"/>
    <s v="Transfer"/>
    <s v="Transfer"/>
    <x v="2"/>
    <s v="Branch"/>
    <n v="85764.99"/>
    <n v="137.19999999999999"/>
    <x v="0"/>
    <s v="Completed"/>
    <s v="Ahmed"/>
  </r>
  <r>
    <x v="52"/>
    <x v="4"/>
    <d v="2025-07-16T00:00:00"/>
    <x v="2"/>
    <s v="Hyderabad"/>
    <s v="Hyderabad"/>
    <s v="Hyderabad"/>
    <x v="0"/>
    <s v="retail"/>
    <s v="Current"/>
    <s v="Current"/>
    <s v="Transfer"/>
    <s v="Transfer"/>
    <x v="3"/>
    <s v="Internet Banking"/>
    <n v="128578.37"/>
    <n v="34.590000000000003"/>
    <x v="0"/>
    <s v="Completed"/>
    <s v="Maham"/>
  </r>
  <r>
    <x v="53"/>
    <x v="5"/>
    <d v="2025-01-18T00:00:00"/>
    <x v="0"/>
    <s v="Sukher"/>
    <s v="Sukher"/>
    <s v="Sukher"/>
    <x v="0"/>
    <s v="retail"/>
    <s v="Current"/>
    <s v="Current"/>
    <s v="Bill Payment"/>
    <s v="Bill Payment"/>
    <x v="0"/>
    <s v="mobile app"/>
    <n v="9378.06"/>
    <n v="17.8"/>
    <x v="0"/>
    <s v="Completed"/>
    <s v="Farhan"/>
  </r>
  <r>
    <x v="54"/>
    <x v="20"/>
    <d v="2026-05-01T00:00:00"/>
    <x v="4"/>
    <s v="Karachi Main"/>
    <s v="Karachi"/>
    <s v="Karachi"/>
    <x v="0"/>
    <s v="retail"/>
    <s v="Current"/>
    <s v="Current"/>
    <s v="Deposit"/>
    <s v="Deposit"/>
    <x v="0"/>
    <s v="mobile app"/>
    <n v="24296.1"/>
    <n v="0"/>
    <x v="0"/>
    <s v="Completed"/>
    <s v="Farhan"/>
  </r>
  <r>
    <x v="55"/>
    <x v="10"/>
    <d v="2025-03-25T00:00:00"/>
    <x v="3"/>
    <s v="Nawabshah"/>
    <s v="Shaheed Benazirabad"/>
    <s v="Shaheed Benazirabad"/>
    <x v="0"/>
    <s v="retail"/>
    <s v="Salary"/>
    <s v="salary"/>
    <s v="Deposit"/>
    <s v="Deposit"/>
    <x v="3"/>
    <s v="Internet Banking"/>
    <n v="32457.13"/>
    <n v="0"/>
    <x v="0"/>
    <s v="Completed"/>
    <s v="Sana"/>
  </r>
  <r>
    <x v="56"/>
    <x v="1"/>
    <d v="2025-05-04T00:00:00"/>
    <x v="1"/>
    <s v="Larkana"/>
    <s v="Larkana"/>
    <s v="Larkana"/>
    <x v="2"/>
    <s v="SME"/>
    <s v="Salary"/>
    <s v="salary"/>
    <s v="Bill Payment"/>
    <s v="Bill Payment"/>
    <x v="2"/>
    <s v="Branch"/>
    <n v="4816.26"/>
    <n v="10.49"/>
    <x v="0"/>
    <s v="Completed"/>
    <s v="Farhan"/>
  </r>
  <r>
    <x v="57"/>
    <x v="0"/>
    <d v="2026-10-18T00:00:00"/>
    <x v="1"/>
    <s v="Larkana"/>
    <s v="Larkana"/>
    <s v="Larkana"/>
    <x v="1"/>
    <s v="Premium"/>
    <s v="Salary"/>
    <s v="salary"/>
    <s v="Deposit"/>
    <s v="Deposit"/>
    <x v="0"/>
    <s v="mobile app"/>
    <n v="55260.7"/>
    <n v="0"/>
    <x v="1"/>
    <s v="Pending"/>
    <s v="Maham"/>
  </r>
  <r>
    <x v="58"/>
    <x v="17"/>
    <d v="2025-11-15T00:00:00"/>
    <x v="1"/>
    <s v="Larkana"/>
    <s v="Larkana"/>
    <s v="Larkana"/>
    <x v="1"/>
    <s v="Premium"/>
    <s v="Current"/>
    <s v="Current"/>
    <s v="Withdrawal"/>
    <s v="Withdrawal"/>
    <x v="1"/>
    <s v="ATM"/>
    <n v="44712.73"/>
    <n v="0"/>
    <x v="0"/>
    <s v="Completed"/>
    <s v="Bilal"/>
  </r>
  <r>
    <x v="59"/>
    <x v="16"/>
    <d v="2025-10-19T00:00:00"/>
    <x v="4"/>
    <s v="Karachi Main"/>
    <s v="Karachi"/>
    <s v="Karachi"/>
    <x v="0"/>
    <s v="retail"/>
    <s v="Salary"/>
    <s v="salary"/>
    <s v="Transfer"/>
    <s v="Transfer"/>
    <x v="3"/>
    <s v="Internet Banking"/>
    <n v="13873.66"/>
    <n v="96.13"/>
    <x v="0"/>
    <s v="Completed"/>
    <s v="Sana"/>
  </r>
  <r>
    <x v="60"/>
    <x v="6"/>
    <d v="2026-07-13T00:00:00"/>
    <x v="2"/>
    <s v="Hyderabad"/>
    <s v="Hyderabad"/>
    <s v="Hyderabad"/>
    <x v="1"/>
    <s v="Premium"/>
    <s v="Salary"/>
    <s v="salary"/>
    <s v="Deposit"/>
    <s v="Deposit"/>
    <x v="2"/>
    <s v="Branch"/>
    <n v="69368.53"/>
    <n v="0"/>
    <x v="0"/>
    <s v="Completed"/>
    <s v="Sana"/>
  </r>
  <r>
    <x v="61"/>
    <x v="16"/>
    <d v="2025-10-15T00:00:00"/>
    <x v="4"/>
    <s v="Karachi Main"/>
    <s v="Karachi"/>
    <s v="Karachi"/>
    <x v="3"/>
    <s v="Corporate"/>
    <s v="Salary"/>
    <s v="salary"/>
    <s v="Bill Payment"/>
    <s v="Bill Payment"/>
    <x v="3"/>
    <s v="Internet Banking"/>
    <n v="16961.72"/>
    <n v="51.77"/>
    <x v="0"/>
    <s v="Completed"/>
    <s v="Farhan"/>
  </r>
  <r>
    <x v="62"/>
    <x v="12"/>
    <d v="2025-04-28T00:00:00"/>
    <x v="3"/>
    <s v="Nawabshah"/>
    <s v="Shaheed Benazirabad"/>
    <s v="Shaheed Benazirabad"/>
    <x v="2"/>
    <s v="SME"/>
    <s v="Savings"/>
    <s v="Savings"/>
    <s v="Withdrawal"/>
    <s v="Withdrawal"/>
    <x v="2"/>
    <s v="Branch"/>
    <n v="65027"/>
    <n v="0"/>
    <x v="0"/>
    <s v="Completed"/>
    <s v="Iqra"/>
  </r>
  <r>
    <x v="63"/>
    <x v="21"/>
    <d v="2026-09-22T00:00:00"/>
    <x v="4"/>
    <s v="Karachi Main"/>
    <s v="Karachi"/>
    <s v="Karachi"/>
    <x v="1"/>
    <s v="Premium"/>
    <s v="Current"/>
    <s v="Current"/>
    <s v="Bill Payment"/>
    <s v="Bill Payment"/>
    <x v="1"/>
    <s v="ATM"/>
    <n v="940.9"/>
    <n v="47.68"/>
    <x v="0"/>
    <s v="Completed"/>
    <s v="Maham"/>
  </r>
  <r>
    <x v="64"/>
    <x v="7"/>
    <d v="2025-06-11T00:00:00"/>
    <x v="4"/>
    <s v="Karachi Main"/>
    <s v="Karachi"/>
    <s v="Karachi"/>
    <x v="3"/>
    <s v="Corporate"/>
    <s v="Savings"/>
    <s v="Savings"/>
    <s v="Transfer"/>
    <s v="Transfer"/>
    <x v="3"/>
    <s v="Internet Banking"/>
    <n v="93805.86"/>
    <n v="31.16"/>
    <x v="0"/>
    <s v="Completed"/>
    <s v="Maham"/>
  </r>
  <r>
    <x v="65"/>
    <x v="12"/>
    <d v="2025-04-27T00:00:00"/>
    <x v="0"/>
    <s v="Sukher"/>
    <s v="Sukher"/>
    <s v="Sukher"/>
    <x v="1"/>
    <s v="Premium"/>
    <s v="Salary"/>
    <s v="salary"/>
    <s v="Deposit"/>
    <s v="Deposit"/>
    <x v="2"/>
    <s v="Branch"/>
    <n v="18038.14"/>
    <n v="0"/>
    <x v="0"/>
    <s v="Completed"/>
    <s v="Sana"/>
  </r>
  <r>
    <x v="66"/>
    <x v="22"/>
    <d v="2026-12-08T00:00:00"/>
    <x v="2"/>
    <s v="Hyderabad"/>
    <s v="Hyderabad"/>
    <s v="Hyderabad"/>
    <x v="1"/>
    <s v="Premium"/>
    <s v="Current"/>
    <s v="Current"/>
    <s v="Withdrawal"/>
    <s v="Withdrawal"/>
    <x v="2"/>
    <s v="Branch"/>
    <n v="22991.47"/>
    <n v="0"/>
    <x v="0"/>
    <s v="Completed"/>
    <s v="Sana"/>
  </r>
  <r>
    <x v="67"/>
    <x v="8"/>
    <d v="2025-08-13T00:00:00"/>
    <x v="0"/>
    <s v="Sukher"/>
    <s v="Sukher"/>
    <s v="Sukher"/>
    <x v="0"/>
    <s v="retail"/>
    <s v="Savings"/>
    <s v="Savings"/>
    <s v="Transfer"/>
    <s v="Transfer"/>
    <x v="1"/>
    <s v="ATM"/>
    <n v="144934.95000000001"/>
    <n v="95.83"/>
    <x v="0"/>
    <s v="Completed"/>
    <s v="Farhan"/>
  </r>
  <r>
    <x v="68"/>
    <x v="7"/>
    <d v="2025-06-04T00:00:00"/>
    <x v="3"/>
    <s v="Nawabshah"/>
    <s v="Shaheed Benazirabad"/>
    <s v="Shaheed Benazirabad"/>
    <x v="0"/>
    <s v="retail"/>
    <s v="Savings"/>
    <s v="Savings"/>
    <s v="Deposit"/>
    <s v="Deposit"/>
    <x v="2"/>
    <s v="Branch"/>
    <n v="90385.43"/>
    <n v="0"/>
    <x v="0"/>
    <s v="Completed"/>
    <s v="Farhan"/>
  </r>
  <r>
    <x v="69"/>
    <x v="21"/>
    <d v="2026-09-24T00:00:00"/>
    <x v="1"/>
    <s v="Larkana"/>
    <s v="Larkana"/>
    <s v="Larkana"/>
    <x v="0"/>
    <s v="retail"/>
    <s v="Savings"/>
    <s v="Savings"/>
    <s v="Withdrawal"/>
    <s v="Withdrawal"/>
    <x v="1"/>
    <s v="ATM"/>
    <n v="12007.08"/>
    <n v="0"/>
    <x v="0"/>
    <s v="Completed"/>
    <s v="Iqra"/>
  </r>
  <r>
    <x v="70"/>
    <x v="4"/>
    <d v="2025-07-08T00:00:00"/>
    <x v="4"/>
    <s v="Karachi Main"/>
    <s v="Karachi"/>
    <s v="Karachi"/>
    <x v="3"/>
    <s v="Corporate"/>
    <s v="Savings"/>
    <s v="Savings"/>
    <s v="Transfer"/>
    <s v="Transfer"/>
    <x v="2"/>
    <s v="Branch"/>
    <n v="108308.76"/>
    <n v="75.56"/>
    <x v="0"/>
    <s v="Completed"/>
    <s v="Bilal"/>
  </r>
  <r>
    <x v="71"/>
    <x v="5"/>
    <d v="2025-01-21T00:00:00"/>
    <x v="0"/>
    <s v="Sukher"/>
    <s v="Sukher"/>
    <s v="Sukher"/>
    <x v="2"/>
    <s v="SME"/>
    <s v="Savings"/>
    <s v="Savings"/>
    <s v="Deposit"/>
    <s v="Deposit"/>
    <x v="2"/>
    <s v="Branch"/>
    <n v="111834.76"/>
    <n v="0"/>
    <x v="0"/>
    <s v="Completed"/>
    <s v="Iqra"/>
  </r>
  <r>
    <x v="72"/>
    <x v="22"/>
    <d v="2026-12-25T00:00:00"/>
    <x v="2"/>
    <s v="Hyderabad"/>
    <s v="Hyderabad"/>
    <s v="Hyderabad"/>
    <x v="2"/>
    <s v="SME"/>
    <s v="Current"/>
    <s v="Current"/>
    <s v="Withdrawal"/>
    <s v="Withdrawal"/>
    <x v="3"/>
    <s v="Internet Banking"/>
    <n v="13814.59"/>
    <n v="0"/>
    <x v="0"/>
    <s v="Completed"/>
    <s v="Sana"/>
  </r>
  <r>
    <x v="73"/>
    <x v="7"/>
    <d v="2025-06-16T00:00:00"/>
    <x v="3"/>
    <s v="Nawabshah"/>
    <s v="Shaheed Benazirabad"/>
    <s v="Shaheed Benazirabad"/>
    <x v="1"/>
    <s v="Premium"/>
    <s v="Savings"/>
    <s v="Savings"/>
    <s v="Bill Payment"/>
    <s v="Bill Payment"/>
    <x v="0"/>
    <s v="mobile app"/>
    <n v="17565.72"/>
    <n v="38.39"/>
    <x v="0"/>
    <s v="Completed"/>
    <s v="Sana"/>
  </r>
  <r>
    <x v="74"/>
    <x v="16"/>
    <d v="2025-10-13T00:00:00"/>
    <x v="1"/>
    <s v="Larkana"/>
    <s v="Larkana"/>
    <s v="Larkana"/>
    <x v="0"/>
    <s v="retail"/>
    <s v="Savings"/>
    <s v="Savings"/>
    <s v="Withdrawal"/>
    <s v="Withdrawal"/>
    <x v="3"/>
    <s v="Internet Banking"/>
    <n v="25655.06"/>
    <n v="0"/>
    <x v="0"/>
    <s v="Completed"/>
    <s v="Maham"/>
  </r>
  <r>
    <x v="75"/>
    <x v="3"/>
    <d v="2026-01-21T00:00:00"/>
    <x v="4"/>
    <s v="Karachi Main"/>
    <s v="Karachi"/>
    <s v="Karachi"/>
    <x v="0"/>
    <s v="retail"/>
    <s v="Savings"/>
    <s v="Savings"/>
    <s v="Withdrawal"/>
    <s v="Withdrawal"/>
    <x v="3"/>
    <s v="Internet Banking"/>
    <n v="15476.54"/>
    <n v="0"/>
    <x v="0"/>
    <s v="Completed"/>
    <s v="Maham"/>
  </r>
  <r>
    <x v="76"/>
    <x v="12"/>
    <d v="2025-04-01T00:00:00"/>
    <x v="4"/>
    <s v="Karachi Main"/>
    <s v="Karachi"/>
    <s v="Karachi"/>
    <x v="0"/>
    <s v="retail"/>
    <s v="Salary"/>
    <s v="salary"/>
    <s v="Transfer"/>
    <s v="Transfer"/>
    <x v="2"/>
    <s v="Branch"/>
    <n v="174940.26"/>
    <n v="30.04"/>
    <x v="0"/>
    <s v="Completed"/>
    <s v="Sana"/>
  </r>
  <r>
    <x v="77"/>
    <x v="12"/>
    <d v="2025-04-25T00:00:00"/>
    <x v="0"/>
    <s v="Sukher"/>
    <s v="Sukher"/>
    <s v="Sukher"/>
    <x v="1"/>
    <s v="Premium"/>
    <s v="Savings"/>
    <s v="Savings"/>
    <s v="Withdrawal"/>
    <s v="Withdrawal"/>
    <x v="3"/>
    <s v="Internet Banking"/>
    <n v="44613.09"/>
    <n v="0"/>
    <x v="0"/>
    <s v="Completed"/>
    <s v="Iqra"/>
  </r>
  <r>
    <x v="78"/>
    <x v="0"/>
    <d v="2026-10-19T00:00:00"/>
    <x v="2"/>
    <s v="Hyderabad"/>
    <s v="Hyderabad"/>
    <s v="Hyderabad"/>
    <x v="2"/>
    <s v="SME"/>
    <s v="Current"/>
    <s v="Current"/>
    <s v="Transfer"/>
    <s v="Transfer"/>
    <x v="1"/>
    <s v="ATM"/>
    <n v="138676.51999999999"/>
    <n v="41.86"/>
    <x v="0"/>
    <s v="Completed"/>
    <s v="Farhan"/>
  </r>
  <r>
    <x v="79"/>
    <x v="2"/>
    <d v="2025-02-03T00:00:00"/>
    <x v="3"/>
    <s v="Nawabshah"/>
    <s v="Shaheed Benazirabad"/>
    <s v="Shaheed Benazirabad"/>
    <x v="2"/>
    <s v="SME"/>
    <s v="Savings"/>
    <s v="Savings"/>
    <s v="Bill Payment"/>
    <s v="Bill Payment"/>
    <x v="3"/>
    <s v="Internet Banking"/>
    <n v="4780.87"/>
    <n v="15.44"/>
    <x v="0"/>
    <s v="Completed"/>
    <s v="Iqra"/>
  </r>
  <r>
    <x v="80"/>
    <x v="1"/>
    <d v="2025-05-07T00:00:00"/>
    <x v="1"/>
    <s v="Larkana"/>
    <s v="Larkana"/>
    <s v="Larkana"/>
    <x v="0"/>
    <s v="retail"/>
    <s v="Salary"/>
    <s v="salary"/>
    <s v="Withdrawal"/>
    <s v="Withdrawal"/>
    <x v="3"/>
    <s v="Internet Banking"/>
    <n v="42082.78"/>
    <n v="0"/>
    <x v="0"/>
    <s v="Completed"/>
    <s v="Bilal"/>
  </r>
  <r>
    <x v="81"/>
    <x v="15"/>
    <d v="2026-08-12T00:00:00"/>
    <x v="3"/>
    <s v="Nawabshah"/>
    <s v="Shaheed Benazirabad"/>
    <s v="Shaheed Benazirabad"/>
    <x v="2"/>
    <s v="SME"/>
    <s v="Salary"/>
    <s v="salary"/>
    <s v="Transfer"/>
    <s v="Transfer"/>
    <x v="3"/>
    <s v="Internet Banking"/>
    <n v="107737.95"/>
    <n v="63.37"/>
    <x v="0"/>
    <s v="Completed"/>
    <s v="Iqra"/>
  </r>
  <r>
    <x v="82"/>
    <x v="14"/>
    <d v="2025-09-24T00:00:00"/>
    <x v="2"/>
    <s v="Hyderabad"/>
    <s v="Hyderabad"/>
    <s v="Hyderabad"/>
    <x v="0"/>
    <s v="retail"/>
    <s v="Salary"/>
    <s v="salary"/>
    <s v="Bill Payment"/>
    <s v="Bill Payment"/>
    <x v="2"/>
    <s v="Branch"/>
    <n v="2430.46"/>
    <n v="26.19"/>
    <x v="0"/>
    <s v="Completed"/>
    <s v="Ahmed"/>
  </r>
  <r>
    <x v="83"/>
    <x v="4"/>
    <d v="2025-07-27T00:00:00"/>
    <x v="4"/>
    <s v="Karachi Main"/>
    <s v="Karachi"/>
    <s v="Karachi"/>
    <x v="3"/>
    <s v="Corporate"/>
    <s v="Savings"/>
    <s v="Savings"/>
    <s v="Withdrawal"/>
    <s v="Withdrawal"/>
    <x v="2"/>
    <s v="Branch"/>
    <n v="67805.19"/>
    <n v="0"/>
    <x v="0"/>
    <s v="Completed"/>
    <s v="Farhan"/>
  </r>
  <r>
    <x v="84"/>
    <x v="9"/>
    <d v="2026-03-18T00:00:00"/>
    <x v="1"/>
    <s v="Larkana"/>
    <s v="Larkana"/>
    <s v="Larkana"/>
    <x v="3"/>
    <s v="Corporate"/>
    <s v="Salary"/>
    <s v="salary"/>
    <s v="Transfer"/>
    <s v="Transfer"/>
    <x v="0"/>
    <s v="mobile app"/>
    <n v="5318.96"/>
    <n v="74.599999999999994"/>
    <x v="0"/>
    <s v="Completed"/>
    <s v="Ahmed"/>
  </r>
  <r>
    <x v="85"/>
    <x v="1"/>
    <d v="2025-05-05T00:00:00"/>
    <x v="3"/>
    <s v="Nawabshah"/>
    <s v="Shaheed Benazirabad"/>
    <s v="Shaheed Benazirabad"/>
    <x v="0"/>
    <s v="retail"/>
    <s v="Savings"/>
    <s v="Savings"/>
    <s v="Deposit"/>
    <s v="Deposit"/>
    <x v="1"/>
    <s v="ATM"/>
    <n v="16532.05"/>
    <n v="0"/>
    <x v="0"/>
    <s v="Completed"/>
    <s v="Iqra"/>
  </r>
  <r>
    <x v="86"/>
    <x v="16"/>
    <d v="2025-10-25T00:00:00"/>
    <x v="3"/>
    <s v="Nawabshah"/>
    <s v="Shaheed Benazirabad"/>
    <s v="Shaheed Benazirabad"/>
    <x v="2"/>
    <s v="SME"/>
    <s v="Salary"/>
    <s v="salary"/>
    <s v="Bill Payment"/>
    <s v="Bill Payment"/>
    <x v="3"/>
    <s v="Internet Banking"/>
    <n v="16816.5"/>
    <n v="81.99"/>
    <x v="0"/>
    <s v="Completed"/>
    <s v="Ahmed"/>
  </r>
  <r>
    <x v="87"/>
    <x v="9"/>
    <d v="2026-03-23T00:00:00"/>
    <x v="4"/>
    <s v="Karachi Main"/>
    <s v="Karachi"/>
    <s v="Karachi"/>
    <x v="0"/>
    <s v="retail"/>
    <s v="Current"/>
    <s v="Current"/>
    <s v="Transfer"/>
    <s v="Transfer"/>
    <x v="0"/>
    <s v="mobile app"/>
    <n v="79269.17"/>
    <n v="137.56"/>
    <x v="0"/>
    <s v="Completed"/>
    <s v="Iqra"/>
  </r>
  <r>
    <x v="88"/>
    <x v="14"/>
    <d v="2025-09-17T00:00:00"/>
    <x v="4"/>
    <s v="Karachi Main"/>
    <s v="Karachi"/>
    <s v="Karachi"/>
    <x v="0"/>
    <s v="retail"/>
    <s v="Savings"/>
    <s v="Savings"/>
    <s v="Bill Payment"/>
    <s v="Bill Payment"/>
    <x v="2"/>
    <s v="Branch"/>
    <n v="5908.11"/>
    <n v="84.68"/>
    <x v="0"/>
    <s v="Completed"/>
    <s v="Bilal"/>
  </r>
  <r>
    <x v="89"/>
    <x v="4"/>
    <d v="2025-07-10T00:00:00"/>
    <x v="1"/>
    <s v="Larkana"/>
    <s v="Larkana"/>
    <s v="Larkana"/>
    <x v="1"/>
    <s v="Premium"/>
    <s v="Savings"/>
    <s v="Savings"/>
    <s v="Deposit"/>
    <s v="Deposit"/>
    <x v="0"/>
    <s v="mobile app"/>
    <n v="50044.92"/>
    <n v="0"/>
    <x v="0"/>
    <s v="Completed"/>
    <s v="Sana"/>
  </r>
  <r>
    <x v="90"/>
    <x v="19"/>
    <d v="2026-11-18T00:00:00"/>
    <x v="1"/>
    <s v="Larkana"/>
    <s v="Larkana"/>
    <s v="Larkana"/>
    <x v="3"/>
    <s v="Corporate"/>
    <s v="Salary"/>
    <s v="salary"/>
    <s v="Bill Payment"/>
    <s v="Bill Payment"/>
    <x v="3"/>
    <s v="Internet Banking"/>
    <n v="29047.15"/>
    <n v="38.83"/>
    <x v="0"/>
    <s v="Completed"/>
    <s v="Bilal"/>
  </r>
  <r>
    <x v="91"/>
    <x v="4"/>
    <d v="2025-07-18T00:00:00"/>
    <x v="1"/>
    <s v="Larkana"/>
    <s v="Larkana"/>
    <s v="Larkana"/>
    <x v="3"/>
    <s v="Corporate"/>
    <s v="Salary"/>
    <s v="salary"/>
    <s v="Withdrawal"/>
    <s v="Withdrawal"/>
    <x v="3"/>
    <s v="Internet Banking"/>
    <n v="30242.3"/>
    <n v="0"/>
    <x v="0"/>
    <s v="Completed"/>
    <s v="Bilal"/>
  </r>
  <r>
    <x v="92"/>
    <x v="7"/>
    <d v="2025-06-02T00:00:00"/>
    <x v="3"/>
    <s v="Nawabshah"/>
    <s v="Shaheed Benazirabad"/>
    <s v="Shaheed Benazirabad"/>
    <x v="2"/>
    <s v="SME"/>
    <s v="Savings"/>
    <s v="Savings"/>
    <s v="Deposit"/>
    <s v="Deposit"/>
    <x v="1"/>
    <s v="ATM"/>
    <n v="82903.100000000006"/>
    <n v="0"/>
    <x v="0"/>
    <s v="Completed"/>
    <s v="Maham"/>
  </r>
  <r>
    <x v="93"/>
    <x v="15"/>
    <d v="2026-08-25T00:00:00"/>
    <x v="1"/>
    <s v="Larkana"/>
    <s v="Larkana"/>
    <s v="Larkana"/>
    <x v="0"/>
    <s v="retail"/>
    <s v="Salary"/>
    <s v="salary"/>
    <s v="Withdrawal"/>
    <s v="Withdrawal"/>
    <x v="1"/>
    <s v="ATM"/>
    <n v="2835.52"/>
    <n v="0"/>
    <x v="0"/>
    <s v="Completed"/>
    <s v="Farhan"/>
  </r>
  <r>
    <x v="94"/>
    <x v="14"/>
    <d v="2025-09-08T00:00:00"/>
    <x v="4"/>
    <s v="Karachi Main"/>
    <s v="Karachi"/>
    <s v="Karachi"/>
    <x v="1"/>
    <s v="Premium"/>
    <s v="Savings"/>
    <s v="Savings"/>
    <s v="Withdrawal"/>
    <s v="Withdrawal"/>
    <x v="1"/>
    <s v="ATM"/>
    <n v="31213.89"/>
    <n v="0"/>
    <x v="1"/>
    <s v="Pending"/>
    <s v="Bilal"/>
  </r>
  <r>
    <x v="95"/>
    <x v="16"/>
    <d v="2025-10-14T00:00:00"/>
    <x v="3"/>
    <s v="Nawabshah"/>
    <s v="Shaheed Benazirabad"/>
    <s v="Shaheed Benazirabad"/>
    <x v="2"/>
    <s v="SME"/>
    <s v="Current"/>
    <s v="Current"/>
    <s v="Bill Payment"/>
    <s v="Bill Payment"/>
    <x v="2"/>
    <s v="Branch"/>
    <n v="27406.6"/>
    <n v="65.59"/>
    <x v="1"/>
    <s v="Pending"/>
    <s v="Bilal"/>
  </r>
  <r>
    <x v="96"/>
    <x v="22"/>
    <d v="2026-12-05T00:00:00"/>
    <x v="1"/>
    <s v="Larkana"/>
    <s v="Larkana"/>
    <s v="Larkana"/>
    <x v="3"/>
    <s v="Corporate"/>
    <s v="Salary"/>
    <s v="salary"/>
    <s v="Withdrawal"/>
    <s v="Withdrawal"/>
    <x v="2"/>
    <s v="Branch"/>
    <n v="13297.31"/>
    <n v="0"/>
    <x v="0"/>
    <s v="Completed"/>
    <s v="Sana"/>
  </r>
  <r>
    <x v="97"/>
    <x v="8"/>
    <d v="2025-08-26T00:00:00"/>
    <x v="4"/>
    <s v="Karachi Main"/>
    <s v="Karachi"/>
    <s v="Karachi"/>
    <x v="1"/>
    <s v="Premium"/>
    <s v="Salary"/>
    <s v="salary"/>
    <s v="Deposit"/>
    <s v="Deposit"/>
    <x v="3"/>
    <s v="Internet Banking"/>
    <n v="28728.02"/>
    <n v="0"/>
    <x v="0"/>
    <s v="Completed"/>
    <s v="Ahmed"/>
  </r>
  <r>
    <x v="98"/>
    <x v="18"/>
    <d v="2025-12-09T00:00:00"/>
    <x v="1"/>
    <s v="Larkana"/>
    <s v="Larkana"/>
    <s v="Larkana"/>
    <x v="1"/>
    <s v="Premium"/>
    <s v="Salary"/>
    <s v="salary"/>
    <s v="Withdrawal"/>
    <s v="Withdrawal"/>
    <x v="0"/>
    <s v="mobile app"/>
    <n v="911.44"/>
    <n v="0"/>
    <x v="0"/>
    <s v="Completed"/>
    <s v="Sana"/>
  </r>
  <r>
    <x v="99"/>
    <x v="15"/>
    <d v="2026-08-15T00:00:00"/>
    <x v="4"/>
    <s v="Karachi Main"/>
    <s v="Karachi"/>
    <s v="Karachi"/>
    <x v="2"/>
    <s v="SME"/>
    <s v="Salary"/>
    <s v="salary"/>
    <s v="Deposit"/>
    <s v="Deposit"/>
    <x v="0"/>
    <s v="mobile app"/>
    <n v="26369.78"/>
    <n v="0"/>
    <x v="0"/>
    <s v="Completed"/>
    <s v="Ahmed"/>
  </r>
  <r>
    <x v="100"/>
    <x v="8"/>
    <d v="2025-08-25T00:00:00"/>
    <x v="0"/>
    <s v="Sukher"/>
    <s v="Sukher"/>
    <s v="Sukher"/>
    <x v="1"/>
    <s v="Premium"/>
    <s v="Current"/>
    <s v="Current"/>
    <s v="Bill Payment"/>
    <s v="Bill Payment"/>
    <x v="1"/>
    <s v="ATM"/>
    <n v="27035.02"/>
    <n v="75.41"/>
    <x v="0"/>
    <s v="Completed"/>
    <s v="Ahmed"/>
  </r>
  <r>
    <x v="101"/>
    <x v="17"/>
    <d v="2025-11-10T00:00:00"/>
    <x v="0"/>
    <s v="Sukher"/>
    <s v="Sukher"/>
    <s v="Sukher"/>
    <x v="3"/>
    <s v="Corporate"/>
    <s v="Salary"/>
    <s v="salary"/>
    <s v="Transfer"/>
    <s v="Transfer"/>
    <x v="2"/>
    <s v="Branch"/>
    <n v="126834.53"/>
    <n v="90.94"/>
    <x v="0"/>
    <s v="Completed"/>
    <s v="Ahmed"/>
  </r>
  <r>
    <x v="102"/>
    <x v="0"/>
    <d v="2026-10-06T00:00:00"/>
    <x v="1"/>
    <s v="Larkana"/>
    <s v="Larkana"/>
    <s v="Larkana"/>
    <x v="2"/>
    <s v="SME"/>
    <s v="Current"/>
    <s v="Current"/>
    <s v="Deposit"/>
    <s v="Deposit"/>
    <x v="3"/>
    <s v="Internet Banking"/>
    <n v="72914.679999999993"/>
    <n v="0"/>
    <x v="0"/>
    <s v="Completed"/>
    <s v="Ahmed"/>
  </r>
  <r>
    <x v="103"/>
    <x v="1"/>
    <d v="2025-05-16T00:00:00"/>
    <x v="0"/>
    <s v="Sukher"/>
    <s v="Sukher"/>
    <s v="Sukher"/>
    <x v="3"/>
    <s v="Corporate"/>
    <s v="Savings"/>
    <s v="Savings"/>
    <s v="Withdrawal"/>
    <s v="Withdrawal"/>
    <x v="0"/>
    <s v="mobile app"/>
    <n v="33348.17"/>
    <n v="0"/>
    <x v="0"/>
    <s v="Completed"/>
    <s v="Maham"/>
  </r>
  <r>
    <x v="104"/>
    <x v="5"/>
    <d v="2025-01-17T00:00:00"/>
    <x v="1"/>
    <s v="Larkana"/>
    <s v="Larkana"/>
    <s v="Larkana"/>
    <x v="3"/>
    <s v="Corporate"/>
    <s v="Salary"/>
    <s v="salary"/>
    <s v="Deposit"/>
    <s v="Deposit"/>
    <x v="0"/>
    <s v="mobile app"/>
    <n v="88857.93"/>
    <n v="0"/>
    <x v="0"/>
    <s v="Completed"/>
    <s v="Iqra"/>
  </r>
  <r>
    <x v="105"/>
    <x v="15"/>
    <d v="2026-08-21T00:00:00"/>
    <x v="3"/>
    <s v="Nawabshah"/>
    <s v="Shaheed Benazirabad"/>
    <s v="Shaheed Benazirabad"/>
    <x v="0"/>
    <s v="retail"/>
    <s v="Savings"/>
    <s v="Savings"/>
    <s v="Withdrawal"/>
    <s v="Withdrawal"/>
    <x v="3"/>
    <s v="Internet Banking"/>
    <n v="55352.93"/>
    <n v="0"/>
    <x v="0"/>
    <s v="Completed"/>
    <s v="Sana"/>
  </r>
  <r>
    <x v="106"/>
    <x v="18"/>
    <d v="2025-12-14T00:00:00"/>
    <x v="4"/>
    <s v="Karachi Main"/>
    <s v="Karachi"/>
    <s v="Karachi"/>
    <x v="0"/>
    <s v="retail"/>
    <s v="Current"/>
    <s v="Current"/>
    <s v="Bill Payment"/>
    <s v="Bill Payment"/>
    <x v="0"/>
    <s v="mobile app"/>
    <n v="4457.42"/>
    <n v="65.37"/>
    <x v="0"/>
    <s v="Completed"/>
    <s v="Farhan"/>
  </r>
  <r>
    <x v="107"/>
    <x v="10"/>
    <d v="2025-03-10T00:00:00"/>
    <x v="1"/>
    <s v="Larkana"/>
    <s v="Larkana"/>
    <s v="Larkana"/>
    <x v="1"/>
    <s v="Premium"/>
    <s v="Current"/>
    <s v="Current"/>
    <s v="Deposit"/>
    <s v="Deposit"/>
    <x v="3"/>
    <s v="Internet Banking"/>
    <n v="38241.89"/>
    <n v="0"/>
    <x v="0"/>
    <s v="Completed"/>
    <s v="Farhan"/>
  </r>
  <r>
    <x v="108"/>
    <x v="15"/>
    <d v="2026-08-16T00:00:00"/>
    <x v="4"/>
    <s v="Karachi Main"/>
    <s v="Karachi"/>
    <s v="Karachi"/>
    <x v="1"/>
    <s v="Premium"/>
    <s v="Current"/>
    <s v="Current"/>
    <s v="Deposit"/>
    <s v="Deposit"/>
    <x v="1"/>
    <s v="ATM"/>
    <n v="41010.78"/>
    <n v="0"/>
    <x v="0"/>
    <s v="Completed"/>
    <s v="Bilal"/>
  </r>
  <r>
    <x v="109"/>
    <x v="17"/>
    <d v="2025-11-26T00:00:00"/>
    <x v="3"/>
    <s v="Nawabshah"/>
    <s v="Shaheed Benazirabad"/>
    <s v="Shaheed Benazirabad"/>
    <x v="2"/>
    <s v="SME"/>
    <s v="Current"/>
    <s v="Current"/>
    <s v="Bill Payment"/>
    <s v="Bill Payment"/>
    <x v="1"/>
    <s v="ATM"/>
    <n v="3220.48"/>
    <n v="41.3"/>
    <x v="0"/>
    <s v="Completed"/>
    <s v="Sana"/>
  </r>
  <r>
    <x v="110"/>
    <x v="4"/>
    <d v="2025-07-12T00:00:00"/>
    <x v="3"/>
    <s v="Nawabshah"/>
    <s v="Shaheed Benazirabad"/>
    <s v="Shaheed Benazirabad"/>
    <x v="1"/>
    <s v="Premium"/>
    <s v="Current"/>
    <s v="Current"/>
    <s v="Withdrawal"/>
    <s v="Withdrawal"/>
    <x v="1"/>
    <s v="ATM"/>
    <n v="61747.81"/>
    <n v="0"/>
    <x v="0"/>
    <s v="Completed"/>
    <s v="Iqra"/>
  </r>
  <r>
    <x v="111"/>
    <x v="19"/>
    <d v="2026-11-28T00:00:00"/>
    <x v="1"/>
    <s v="Larkana"/>
    <s v="Larkana"/>
    <s v="Larkana"/>
    <x v="0"/>
    <s v="retail"/>
    <s v="Salary"/>
    <s v="salary"/>
    <s v="Deposit"/>
    <s v="Deposit"/>
    <x v="2"/>
    <s v="Branch"/>
    <n v="18615.73"/>
    <n v="0"/>
    <x v="0"/>
    <s v="Completed"/>
    <s v="Iqra"/>
  </r>
  <r>
    <x v="112"/>
    <x v="7"/>
    <d v="2025-06-15T00:00:00"/>
    <x v="4"/>
    <s v="Karachi Main"/>
    <s v="Karachi"/>
    <s v="Karachi"/>
    <x v="0"/>
    <s v="retail"/>
    <s v="Current"/>
    <s v="Current"/>
    <s v="Withdrawal"/>
    <s v="Withdrawal"/>
    <x v="2"/>
    <s v="Branch"/>
    <n v="40295.75"/>
    <n v="0"/>
    <x v="0"/>
    <s v="Completed"/>
    <s v="Sana"/>
  </r>
  <r>
    <x v="113"/>
    <x v="7"/>
    <d v="2025-06-07T00:00:00"/>
    <x v="4"/>
    <s v="Karachi Main"/>
    <s v="Karachi"/>
    <s v="Karachi"/>
    <x v="2"/>
    <s v="SME"/>
    <s v="Savings"/>
    <s v="Savings"/>
    <s v="Deposit"/>
    <s v="Deposit"/>
    <x v="0"/>
    <s v="mobile app"/>
    <n v="103738.38"/>
    <n v="0"/>
    <x v="0"/>
    <s v="Completed"/>
    <s v="Iqra"/>
  </r>
  <r>
    <x v="114"/>
    <x v="21"/>
    <d v="2026-09-23T00:00:00"/>
    <x v="3"/>
    <s v="Nawabshah"/>
    <s v="Shaheed Benazirabad"/>
    <s v="Shaheed Benazirabad"/>
    <x v="1"/>
    <s v="Premium"/>
    <s v="Savings"/>
    <s v="Savings"/>
    <s v="Deposit"/>
    <s v="Deposit"/>
    <x v="2"/>
    <s v="Branch"/>
    <n v="71252.66"/>
    <n v="0"/>
    <x v="0"/>
    <s v="Completed"/>
    <s v="Sana"/>
  </r>
  <r>
    <x v="115"/>
    <x v="5"/>
    <d v="2025-01-27T00:00:00"/>
    <x v="2"/>
    <s v="Hyderabad"/>
    <s v="Hyderabad"/>
    <s v="Hyderabad"/>
    <x v="3"/>
    <s v="Corporate"/>
    <s v="Salary"/>
    <s v="salary"/>
    <s v="Transfer"/>
    <s v="Transfer"/>
    <x v="0"/>
    <s v="mobile app"/>
    <n v="151625.26"/>
    <n v="120.31"/>
    <x v="0"/>
    <s v="Completed"/>
    <s v="Iqra"/>
  </r>
  <r>
    <x v="116"/>
    <x v="10"/>
    <d v="2025-03-03T00:00:00"/>
    <x v="3"/>
    <s v="Nawabshah"/>
    <s v="Shaheed Benazirabad"/>
    <s v="Shaheed Benazirabad"/>
    <x v="2"/>
    <s v="SME"/>
    <s v="Salary"/>
    <s v="salary"/>
    <s v="Deposit"/>
    <s v="Deposit"/>
    <x v="3"/>
    <s v="Internet Banking"/>
    <n v="107986.7"/>
    <n v="0"/>
    <x v="0"/>
    <s v="Completed"/>
    <s v="Ahmed"/>
  </r>
  <r>
    <x v="117"/>
    <x v="3"/>
    <d v="2026-01-03T00:00:00"/>
    <x v="0"/>
    <s v="Sukher"/>
    <s v="Sukher"/>
    <s v="Sukher"/>
    <x v="3"/>
    <s v="Corporate"/>
    <s v="Salary"/>
    <s v="salary"/>
    <s v="Deposit"/>
    <s v="Deposit"/>
    <x v="3"/>
    <s v="Internet Banking"/>
    <n v="47896.44"/>
    <n v="0"/>
    <x v="0"/>
    <s v="Completed"/>
    <s v="Farhan"/>
  </r>
  <r>
    <x v="118"/>
    <x v="1"/>
    <d v="2025-05-15T00:00:00"/>
    <x v="2"/>
    <s v="Hyderabad"/>
    <s v="Hyderabad"/>
    <s v="Hyderabad"/>
    <x v="0"/>
    <s v="retail"/>
    <s v="Salary"/>
    <s v="salary"/>
    <s v="Deposit"/>
    <s v="Deposit"/>
    <x v="2"/>
    <s v="Branch"/>
    <n v="19652.439999999999"/>
    <n v="0"/>
    <x v="0"/>
    <s v="Completed"/>
    <s v="Sana"/>
  </r>
  <r>
    <x v="119"/>
    <x v="10"/>
    <d v="2025-03-08T00:00:00"/>
    <x v="3"/>
    <s v="Nawabshah"/>
    <s v="Shaheed Benazirabad"/>
    <s v="Shaheed Benazirabad"/>
    <x v="1"/>
    <s v="Premium"/>
    <s v="Savings"/>
    <s v="Savings"/>
    <s v="Withdrawal"/>
    <s v="Withdrawal"/>
    <x v="2"/>
    <s v="Branch"/>
    <n v="18177.990000000002"/>
    <n v="0"/>
    <x v="0"/>
    <s v="Completed"/>
    <s v="Ahmed"/>
  </r>
  <r>
    <x v="120"/>
    <x v="6"/>
    <d v="2026-07-07T00:00:00"/>
    <x v="4"/>
    <s v="Karachi Main"/>
    <s v="Karachi"/>
    <s v="Karachi"/>
    <x v="3"/>
    <s v="Corporate"/>
    <s v="Current"/>
    <s v="Current"/>
    <s v="Withdrawal"/>
    <s v="Withdrawal"/>
    <x v="2"/>
    <s v="Branch"/>
    <n v="68364.740000000005"/>
    <n v="0"/>
    <x v="0"/>
    <s v="Completed"/>
    <s v="Iqra"/>
  </r>
  <r>
    <x v="121"/>
    <x v="14"/>
    <d v="2025-09-25T00:00:00"/>
    <x v="3"/>
    <s v="Nawabshah"/>
    <s v="Shaheed Benazirabad"/>
    <s v="Shaheed Benazirabad"/>
    <x v="0"/>
    <s v="retail"/>
    <s v="Savings"/>
    <s v="Savings"/>
    <s v="Bill Payment"/>
    <s v="Bill Payment"/>
    <x v="2"/>
    <s v="Branch"/>
    <n v="2694.27"/>
    <n v="69.52"/>
    <x v="0"/>
    <s v="Completed"/>
    <s v="Ahmed"/>
  </r>
  <r>
    <x v="122"/>
    <x v="7"/>
    <d v="2025-06-15T00:00:00"/>
    <x v="0"/>
    <s v="Sukher"/>
    <s v="Sukher"/>
    <s v="Sukher"/>
    <x v="2"/>
    <s v="SME"/>
    <s v="Current"/>
    <s v="Current"/>
    <s v="Bill Payment"/>
    <s v="Bill Payment"/>
    <x v="0"/>
    <s v="mobile app"/>
    <n v="28954.34"/>
    <n v="98.27"/>
    <x v="0"/>
    <s v="Completed"/>
    <s v="Sana"/>
  </r>
  <r>
    <x v="123"/>
    <x v="21"/>
    <d v="2026-09-09T00:00:00"/>
    <x v="4"/>
    <s v="Karachi Main"/>
    <s v="Karachi"/>
    <s v="Karachi"/>
    <x v="1"/>
    <s v="Premium"/>
    <s v="Salary"/>
    <s v="salary"/>
    <s v="Transfer"/>
    <s v="Transfer"/>
    <x v="3"/>
    <s v="Internet Banking"/>
    <n v="43334.879999999997"/>
    <n v="44.82"/>
    <x v="0"/>
    <s v="Completed"/>
    <s v="Farhan"/>
  </r>
  <r>
    <x v="124"/>
    <x v="7"/>
    <d v="2025-06-11T00:00:00"/>
    <x v="0"/>
    <s v="Sukher"/>
    <s v="Sukher"/>
    <s v="Sukher"/>
    <x v="1"/>
    <s v="Premium"/>
    <s v="Savings"/>
    <s v="Savings"/>
    <s v="Bill Payment"/>
    <s v="Bill Payment"/>
    <x v="2"/>
    <s v="Branch"/>
    <n v="2449.94"/>
    <n v="56.51"/>
    <x v="0"/>
    <s v="Completed"/>
    <s v="Farhan"/>
  </r>
  <r>
    <x v="125"/>
    <x v="14"/>
    <d v="2025-09-03T00:00:00"/>
    <x v="2"/>
    <s v="Hyderabad"/>
    <s v="Hyderabad"/>
    <s v="Hyderabad"/>
    <x v="1"/>
    <s v="Premium"/>
    <s v="Current"/>
    <s v="Current"/>
    <s v="Withdrawal"/>
    <s v="Withdrawal"/>
    <x v="2"/>
    <s v="Branch"/>
    <n v="52758.02"/>
    <n v="0"/>
    <x v="0"/>
    <s v="Completed"/>
    <s v="Ahmed"/>
  </r>
  <r>
    <x v="126"/>
    <x v="9"/>
    <d v="2026-03-02T00:00:00"/>
    <x v="2"/>
    <s v="Hyderabad"/>
    <s v="Hyderabad"/>
    <s v="Hyderabad"/>
    <x v="3"/>
    <s v="Corporate"/>
    <s v="Salary"/>
    <s v="salary"/>
    <s v="Deposit"/>
    <s v="Deposit"/>
    <x v="2"/>
    <s v="Branch"/>
    <n v="64030.65"/>
    <n v="0"/>
    <x v="0"/>
    <s v="Completed"/>
    <s v="Sana"/>
  </r>
  <r>
    <x v="127"/>
    <x v="5"/>
    <d v="2025-01-10T00:00:00"/>
    <x v="3"/>
    <s v="Nawabshah"/>
    <s v="Shaheed Benazirabad"/>
    <s v="Shaheed Benazirabad"/>
    <x v="1"/>
    <s v="Premium"/>
    <s v="Salary"/>
    <s v="salary"/>
    <s v="Withdrawal"/>
    <s v="Withdrawal"/>
    <x v="1"/>
    <s v="ATM"/>
    <n v="35955.99"/>
    <n v="0"/>
    <x v="0"/>
    <s v="Completed"/>
    <s v="Bilal"/>
  </r>
  <r>
    <x v="128"/>
    <x v="12"/>
    <d v="2025-04-16T00:00:00"/>
    <x v="1"/>
    <s v="Larkana"/>
    <s v="Larkana"/>
    <s v="Larkana"/>
    <x v="1"/>
    <s v="Premium"/>
    <s v="Current"/>
    <s v="Current"/>
    <s v="Transfer"/>
    <s v="Transfer"/>
    <x v="2"/>
    <s v="Branch"/>
    <n v="169554.05"/>
    <n v="120.97"/>
    <x v="0"/>
    <s v="Completed"/>
    <s v="Ahmed"/>
  </r>
  <r>
    <x v="129"/>
    <x v="19"/>
    <d v="2026-11-03T00:00:00"/>
    <x v="3"/>
    <s v="Nawabshah"/>
    <s v="Shaheed Benazirabad"/>
    <s v="Shaheed Benazirabad"/>
    <x v="2"/>
    <s v="SME"/>
    <s v="Salary"/>
    <s v="salary"/>
    <s v="Withdrawal"/>
    <s v="Withdrawal"/>
    <x v="0"/>
    <s v="mobile app"/>
    <n v="66423.600000000006"/>
    <n v="0"/>
    <x v="0"/>
    <s v="Completed"/>
    <s v="Farhan"/>
  </r>
  <r>
    <x v="130"/>
    <x v="16"/>
    <d v="2025-10-22T00:00:00"/>
    <x v="3"/>
    <s v="Nawabshah"/>
    <s v="Shaheed Benazirabad"/>
    <s v="Shaheed Benazirabad"/>
    <x v="2"/>
    <s v="SME"/>
    <s v="Salary"/>
    <s v="salary"/>
    <s v="Withdrawal"/>
    <s v="Withdrawal"/>
    <x v="1"/>
    <s v="ATM"/>
    <n v="20835.66"/>
    <n v="0"/>
    <x v="0"/>
    <s v="Completed"/>
    <s v="Ahmed"/>
  </r>
  <r>
    <x v="131"/>
    <x v="2"/>
    <d v="2025-02-07T00:00:00"/>
    <x v="2"/>
    <s v="Hyderabad"/>
    <s v="Hyderabad"/>
    <s v="Hyderabad"/>
    <x v="3"/>
    <s v="Corporate"/>
    <s v="Savings"/>
    <s v="Savings"/>
    <s v="Withdrawal"/>
    <s v="Withdrawal"/>
    <x v="1"/>
    <s v="ATM"/>
    <n v="12820.5"/>
    <n v="0"/>
    <x v="0"/>
    <s v="Completed"/>
    <s v="Farhan"/>
  </r>
  <r>
    <x v="132"/>
    <x v="9"/>
    <d v="2026-03-21T00:00:00"/>
    <x v="1"/>
    <s v="Larkana"/>
    <s v="Larkana"/>
    <s v="Larkana"/>
    <x v="3"/>
    <s v="Corporate"/>
    <s v="Salary"/>
    <s v="salary"/>
    <s v="Deposit"/>
    <s v="Deposit"/>
    <x v="0"/>
    <s v="mobile app"/>
    <n v="106097.96"/>
    <n v="0"/>
    <x v="0"/>
    <s v="Completed"/>
    <s v="Farhan"/>
  </r>
  <r>
    <x v="133"/>
    <x v="7"/>
    <d v="2025-06-01T00:00:00"/>
    <x v="3"/>
    <s v="Nawabshah"/>
    <s v="Shaheed Benazirabad"/>
    <s v="Shaheed Benazirabad"/>
    <x v="3"/>
    <s v="Corporate"/>
    <s v="Savings"/>
    <s v="Savings"/>
    <s v="Deposit"/>
    <s v="Deposit"/>
    <x v="0"/>
    <s v="mobile app"/>
    <n v="45589.35"/>
    <n v="0"/>
    <x v="0"/>
    <s v="Completed"/>
    <s v="Iqra"/>
  </r>
  <r>
    <x v="134"/>
    <x v="5"/>
    <d v="2025-01-19T00:00:00"/>
    <x v="4"/>
    <s v="Karachi Main"/>
    <s v="Karachi"/>
    <s v="Karachi"/>
    <x v="1"/>
    <s v="Premium"/>
    <s v="Current"/>
    <s v="Current"/>
    <s v="Transfer"/>
    <s v="Transfer"/>
    <x v="1"/>
    <s v="ATM"/>
    <n v="103696.6"/>
    <n v="98.66"/>
    <x v="0"/>
    <s v="Completed"/>
    <s v="Ahmed"/>
  </r>
  <r>
    <x v="135"/>
    <x v="20"/>
    <d v="2026-05-25T00:00:00"/>
    <x v="2"/>
    <s v="Hyderabad"/>
    <s v="Hyderabad"/>
    <s v="Hyderabad"/>
    <x v="1"/>
    <s v="Premium"/>
    <s v="Current"/>
    <s v="Current"/>
    <s v="Deposit"/>
    <s v="Deposit"/>
    <x v="0"/>
    <s v="mobile app"/>
    <n v="40789.449999999997"/>
    <n v="0"/>
    <x v="0"/>
    <s v="Completed"/>
    <s v="Iqra"/>
  </r>
  <r>
    <x v="136"/>
    <x v="8"/>
    <d v="2025-08-09T00:00:00"/>
    <x v="3"/>
    <s v="Nawabshah"/>
    <s v="Shaheed Benazirabad"/>
    <s v="Shaheed Benazirabad"/>
    <x v="1"/>
    <s v="Premium"/>
    <s v="Savings"/>
    <s v="Savings"/>
    <s v="Deposit"/>
    <s v="Deposit"/>
    <x v="1"/>
    <s v="ATM"/>
    <n v="34949.879999999997"/>
    <n v="0"/>
    <x v="0"/>
    <s v="Completed"/>
    <s v="Maham"/>
  </r>
  <r>
    <x v="137"/>
    <x v="18"/>
    <d v="2025-12-26T00:00:00"/>
    <x v="1"/>
    <s v="Larkana"/>
    <s v="Larkana"/>
    <s v="Larkana"/>
    <x v="0"/>
    <s v="retail"/>
    <s v="Salary"/>
    <s v="salary"/>
    <s v="Withdrawal"/>
    <s v="Withdrawal"/>
    <x v="0"/>
    <s v="mobile app"/>
    <n v="1407.54"/>
    <n v="0"/>
    <x v="0"/>
    <s v="Completed"/>
    <s v="Bilal"/>
  </r>
  <r>
    <x v="138"/>
    <x v="11"/>
    <d v="2026-02-01T00:00:00"/>
    <x v="0"/>
    <s v="Sukher"/>
    <s v="Sukher"/>
    <s v="Sukher"/>
    <x v="1"/>
    <s v="Premium"/>
    <s v="Current"/>
    <s v="Current"/>
    <s v="Transfer"/>
    <s v="Transfer"/>
    <x v="3"/>
    <s v="Internet Banking"/>
    <n v="112376.09"/>
    <n v="34.75"/>
    <x v="0"/>
    <s v="Completed"/>
    <s v="Bilal"/>
  </r>
  <r>
    <x v="139"/>
    <x v="18"/>
    <d v="2025-12-01T00:00:00"/>
    <x v="1"/>
    <s v="Larkana"/>
    <s v="Larkana"/>
    <s v="Larkana"/>
    <x v="1"/>
    <s v="Premium"/>
    <s v="Current"/>
    <s v="Current"/>
    <s v="Deposit"/>
    <s v="Deposit"/>
    <x v="3"/>
    <s v="Internet Banking"/>
    <n v="97556.89"/>
    <n v="0"/>
    <x v="0"/>
    <s v="Completed"/>
    <s v="Farhan"/>
  </r>
  <r>
    <x v="140"/>
    <x v="8"/>
    <d v="2025-08-19T00:00:00"/>
    <x v="0"/>
    <s v="Sukher"/>
    <s v="Sukher"/>
    <s v="Sukher"/>
    <x v="3"/>
    <s v="Corporate"/>
    <s v="Savings"/>
    <s v="Savings"/>
    <s v="Withdrawal"/>
    <s v="Withdrawal"/>
    <x v="3"/>
    <s v="Internet Banking"/>
    <n v="16816.71"/>
    <n v="0"/>
    <x v="0"/>
    <s v="Completed"/>
    <s v="Iqra"/>
  </r>
  <r>
    <x v="141"/>
    <x v="11"/>
    <d v="2026-02-01T00:00:00"/>
    <x v="1"/>
    <s v="Larkana"/>
    <s v="Larkana"/>
    <s v="Larkana"/>
    <x v="4"/>
    <s v="Unknown"/>
    <s v="Current"/>
    <s v="Current"/>
    <s v="Bill Payment"/>
    <s v="Bill Payment"/>
    <x v="0"/>
    <s v="mobile app"/>
    <n v="9156.57"/>
    <n v="74.45"/>
    <x v="0"/>
    <s v="Completed"/>
    <s v="Farhan"/>
  </r>
  <r>
    <x v="142"/>
    <x v="10"/>
    <d v="2025-03-26T00:00:00"/>
    <x v="4"/>
    <s v="Karachi Main"/>
    <s v="Karachi"/>
    <s v="Karachi"/>
    <x v="2"/>
    <s v="SME"/>
    <s v="Salary"/>
    <s v="salary"/>
    <s v="Deposit"/>
    <s v="Deposit"/>
    <x v="0"/>
    <s v="mobile app"/>
    <n v="55216.89"/>
    <n v="0"/>
    <x v="0"/>
    <s v="Completed"/>
    <s v="Iqra"/>
  </r>
  <r>
    <x v="143"/>
    <x v="16"/>
    <d v="2025-10-10T00:00:00"/>
    <x v="3"/>
    <s v="Nawabshah"/>
    <s v="Shaheed Benazirabad"/>
    <s v="Shaheed Benazirabad"/>
    <x v="2"/>
    <s v="SME"/>
    <s v="Savings"/>
    <s v="Savings"/>
    <s v="Transfer"/>
    <s v="Transfer"/>
    <x v="0"/>
    <s v="mobile app"/>
    <n v="16703.68"/>
    <n v="85.37"/>
    <x v="0"/>
    <s v="Completed"/>
    <s v="Iqra"/>
  </r>
  <r>
    <x v="144"/>
    <x v="23"/>
    <d v="2026-04-12T00:00:00"/>
    <x v="0"/>
    <s v="Sukher"/>
    <s v="Sukher"/>
    <s v="Sukher"/>
    <x v="3"/>
    <s v="Corporate"/>
    <s v="Current"/>
    <s v="Current"/>
    <s v="Transfer"/>
    <s v="Transfer"/>
    <x v="3"/>
    <s v="Internet Banking"/>
    <n v="136433.65"/>
    <n v="125.59"/>
    <x v="0"/>
    <s v="Completed"/>
    <s v="Bilal"/>
  </r>
  <r>
    <x v="145"/>
    <x v="14"/>
    <d v="2025-09-18T00:00:00"/>
    <x v="4"/>
    <s v="Karachi Main"/>
    <s v="Karachi"/>
    <s v="Karachi"/>
    <x v="2"/>
    <s v="SME"/>
    <s v="Current"/>
    <s v="Current"/>
    <s v="Withdrawal"/>
    <s v="Withdrawal"/>
    <x v="3"/>
    <s v="Internet Banking"/>
    <n v="63095.7"/>
    <n v="0"/>
    <x v="0"/>
    <s v="Completed"/>
    <s v="Maham"/>
  </r>
  <r>
    <x v="146"/>
    <x v="12"/>
    <d v="2025-04-13T00:00:00"/>
    <x v="1"/>
    <s v="Larkana"/>
    <s v="Larkana"/>
    <s v="Larkana"/>
    <x v="3"/>
    <s v="Corporate"/>
    <s v="Savings"/>
    <s v="Savings"/>
    <s v="Deposit"/>
    <s v="Deposit"/>
    <x v="0"/>
    <s v="mobile app"/>
    <n v="102229.95"/>
    <n v="0"/>
    <x v="0"/>
    <s v="Completed"/>
    <s v="Ahmed"/>
  </r>
  <r>
    <x v="147"/>
    <x v="11"/>
    <d v="2026-02-02T00:00:00"/>
    <x v="2"/>
    <s v="Hyderabad"/>
    <s v="Hyderabad"/>
    <s v="Hyderabad"/>
    <x v="2"/>
    <s v="SME"/>
    <s v="Current"/>
    <s v="Current"/>
    <s v="Transfer"/>
    <s v="Transfer"/>
    <x v="3"/>
    <s v="Internet Banking"/>
    <n v="86941.82"/>
    <n v="72.31"/>
    <x v="1"/>
    <s v="Pending"/>
    <s v="Ahmed"/>
  </r>
  <r>
    <x v="148"/>
    <x v="16"/>
    <d v="2025-10-26T00:00:00"/>
    <x v="0"/>
    <s v="Sukher"/>
    <s v="Sukher"/>
    <s v="Sukher"/>
    <x v="3"/>
    <s v="Corporate"/>
    <s v="Savings"/>
    <s v="Savings"/>
    <s v="Withdrawal"/>
    <s v="Withdrawal"/>
    <x v="3"/>
    <s v="Internet Banking"/>
    <n v="24672.23"/>
    <n v="0"/>
    <x v="0"/>
    <s v="Completed"/>
    <s v="Sana"/>
  </r>
  <r>
    <x v="149"/>
    <x v="8"/>
    <d v="2025-08-08T00:00:00"/>
    <x v="0"/>
    <s v="Sukher"/>
    <s v="Sukher"/>
    <s v="Sukher"/>
    <x v="2"/>
    <s v="SME"/>
    <s v="Current"/>
    <s v="Current"/>
    <s v="Deposit"/>
    <s v="Deposit"/>
    <x v="3"/>
    <s v="Internet Banking"/>
    <n v="42431.86"/>
    <n v="0"/>
    <x v="0"/>
    <s v="Completed"/>
    <s v="Sana"/>
  </r>
  <r>
    <x v="150"/>
    <x v="11"/>
    <d v="2026-02-13T00:00:00"/>
    <x v="2"/>
    <s v="Hyderabad"/>
    <s v="Hyderabad"/>
    <s v="Hyderabad"/>
    <x v="2"/>
    <s v="SME"/>
    <s v="Savings"/>
    <s v="Savings"/>
    <s v="Withdrawal"/>
    <s v="Withdrawal"/>
    <x v="1"/>
    <s v="ATM"/>
    <n v="33354"/>
    <n v="0"/>
    <x v="0"/>
    <s v="Completed"/>
    <s v="Ahmed"/>
  </r>
  <r>
    <x v="151"/>
    <x v="14"/>
    <d v="2025-09-14T00:00:00"/>
    <x v="2"/>
    <s v="Hyderabad"/>
    <s v="Hyderabad"/>
    <s v="Hyderabad"/>
    <x v="2"/>
    <s v="SME"/>
    <s v="Salary"/>
    <s v="salary"/>
    <s v="Deposit"/>
    <s v="Deposit"/>
    <x v="3"/>
    <s v="Internet Banking"/>
    <n v="63298.76"/>
    <n v="0"/>
    <x v="1"/>
    <s v="Pending"/>
    <s v="Maham"/>
  </r>
  <r>
    <x v="152"/>
    <x v="18"/>
    <d v="2025-12-24T00:00:00"/>
    <x v="2"/>
    <s v="Hyderabad"/>
    <s v="Hyderabad"/>
    <s v="Hyderabad"/>
    <x v="0"/>
    <s v="retail"/>
    <s v="Savings"/>
    <s v="Savings"/>
    <s v="Bill Payment"/>
    <s v="Bill Payment"/>
    <x v="0"/>
    <s v="mobile app"/>
    <n v="27422.79"/>
    <n v="69.42"/>
    <x v="0"/>
    <s v="Completed"/>
    <s v="Maham"/>
  </r>
  <r>
    <x v="153"/>
    <x v="13"/>
    <d v="2026-06-03T00:00:00"/>
    <x v="2"/>
    <s v="Hyderabad"/>
    <s v="Hyderabad"/>
    <s v="Hyderabad"/>
    <x v="1"/>
    <s v="Premium"/>
    <s v="Savings"/>
    <s v="Savings"/>
    <s v="Transfer"/>
    <s v="Transfer"/>
    <x v="1"/>
    <s v="ATM"/>
    <n v="60992.93"/>
    <n v="108.84"/>
    <x v="0"/>
    <s v="Completed"/>
    <s v="Bilal"/>
  </r>
  <r>
    <x v="154"/>
    <x v="4"/>
    <d v="2025-07-21T00:00:00"/>
    <x v="1"/>
    <s v="Larkana"/>
    <s v="Larkana"/>
    <s v="Larkana"/>
    <x v="0"/>
    <s v="retail"/>
    <s v="Salary"/>
    <s v="salary"/>
    <s v="Bill Payment"/>
    <s v="Bill Payment"/>
    <x v="2"/>
    <s v="Branch"/>
    <n v="15456.24"/>
    <n v="18.32"/>
    <x v="0"/>
    <s v="Completed"/>
    <s v="Sana"/>
  </r>
  <r>
    <x v="155"/>
    <x v="10"/>
    <d v="2025-03-09T00:00:00"/>
    <x v="1"/>
    <s v="Larkana"/>
    <s v="Larkana"/>
    <s v="Larkana"/>
    <x v="3"/>
    <s v="Corporate"/>
    <s v="Salary"/>
    <s v="salary"/>
    <s v="Deposit"/>
    <s v="Deposit"/>
    <x v="3"/>
    <s v="Internet Banking"/>
    <n v="29890.39"/>
    <n v="0"/>
    <x v="0"/>
    <s v="Completed"/>
    <s v="Farhan"/>
  </r>
  <r>
    <x v="156"/>
    <x v="23"/>
    <d v="2026-04-05T00:00:00"/>
    <x v="0"/>
    <s v="Sukher"/>
    <s v="Sukher"/>
    <s v="Sukher"/>
    <x v="3"/>
    <s v="Corporate"/>
    <s v="Current"/>
    <s v="Current"/>
    <s v="Withdrawal"/>
    <s v="Withdrawal"/>
    <x v="2"/>
    <s v="Branch"/>
    <n v="11620.9"/>
    <n v="0"/>
    <x v="0"/>
    <s v="Completed"/>
    <s v="Iqra"/>
  </r>
  <r>
    <x v="157"/>
    <x v="4"/>
    <d v="2025-07-04T00:00:00"/>
    <x v="2"/>
    <s v="Hyderabad"/>
    <s v="Hyderabad"/>
    <s v="Hyderabad"/>
    <x v="1"/>
    <s v="Premium"/>
    <s v="Savings"/>
    <s v="Savings"/>
    <s v="Deposit"/>
    <s v="Deposit"/>
    <x v="1"/>
    <s v="ATM"/>
    <n v="3311.19"/>
    <n v="0"/>
    <x v="0"/>
    <s v="Completed"/>
    <s v="Bilal"/>
  </r>
  <r>
    <x v="158"/>
    <x v="4"/>
    <d v="2025-07-22T00:00:00"/>
    <x v="2"/>
    <s v="Hyderabad"/>
    <s v="Hyderabad"/>
    <s v="Hyderabad"/>
    <x v="3"/>
    <s v="Corporate"/>
    <s v="Salary"/>
    <s v="salary"/>
    <s v="Deposit"/>
    <s v="Deposit"/>
    <x v="2"/>
    <s v="Branch"/>
    <n v="101013.94"/>
    <n v="0"/>
    <x v="0"/>
    <s v="Completed"/>
    <s v="Ahmed"/>
  </r>
  <r>
    <x v="159"/>
    <x v="0"/>
    <d v="2026-10-04T00:00:00"/>
    <x v="0"/>
    <s v="Sukher"/>
    <s v="Sukher"/>
    <s v="Sukher"/>
    <x v="0"/>
    <s v="retail"/>
    <s v="Savings"/>
    <s v="Savings"/>
    <s v="Deposit"/>
    <s v="Deposit"/>
    <x v="0"/>
    <s v="mobile app"/>
    <n v="25501.86"/>
    <n v="0"/>
    <x v="0"/>
    <s v="Completed"/>
    <s v="Iqra"/>
  </r>
  <r>
    <x v="160"/>
    <x v="5"/>
    <d v="2025-01-17T00:00:00"/>
    <x v="2"/>
    <s v="Hyderabad"/>
    <s v="Hyderabad"/>
    <s v="Hyderabad"/>
    <x v="0"/>
    <s v="retail"/>
    <s v="Current"/>
    <s v="Current"/>
    <s v="Bill Payment"/>
    <s v="Bill Payment"/>
    <x v="2"/>
    <s v="Branch"/>
    <n v="26019.52"/>
    <n v="77.81"/>
    <x v="0"/>
    <s v="Completed"/>
    <s v="Bilal"/>
  </r>
  <r>
    <x v="161"/>
    <x v="4"/>
    <d v="2025-07-15T00:00:00"/>
    <x v="0"/>
    <s v="Sukher"/>
    <s v="Sukher"/>
    <s v="Sukher"/>
    <x v="0"/>
    <s v="retail"/>
    <s v="Salary"/>
    <s v="salary"/>
    <s v="Bill Payment"/>
    <s v="Bill Payment"/>
    <x v="2"/>
    <s v="Branch"/>
    <n v="25762.43"/>
    <n v="18.95"/>
    <x v="0"/>
    <s v="Completed"/>
    <s v="Ahmed"/>
  </r>
  <r>
    <x v="162"/>
    <x v="9"/>
    <d v="2026-03-07T00:00:00"/>
    <x v="2"/>
    <s v="Hyderabad"/>
    <s v="Hyderabad"/>
    <s v="Hyderabad"/>
    <x v="0"/>
    <s v="retail"/>
    <s v="Salary"/>
    <s v="salary"/>
    <s v="Transfer"/>
    <s v="Transfer"/>
    <x v="2"/>
    <s v="Branch"/>
    <n v="142256.57999999999"/>
    <n v="53.38"/>
    <x v="0"/>
    <s v="Completed"/>
    <s v="Farhan"/>
  </r>
  <r>
    <x v="163"/>
    <x v="10"/>
    <d v="2025-03-08T00:00:00"/>
    <x v="3"/>
    <s v="Nawabshah"/>
    <s v="Shaheed Benazirabad"/>
    <s v="Shaheed Benazirabad"/>
    <x v="0"/>
    <s v="retail"/>
    <s v="Savings"/>
    <s v="Savings"/>
    <s v="Deposit"/>
    <s v="Deposit"/>
    <x v="1"/>
    <s v="ATM"/>
    <n v="1041.99"/>
    <n v="0"/>
    <x v="1"/>
    <s v="Pending"/>
    <s v="Iqra"/>
  </r>
  <r>
    <x v="164"/>
    <x v="2"/>
    <d v="2025-02-09T00:00:00"/>
    <x v="4"/>
    <s v="Karachi Main"/>
    <s v="Karachi"/>
    <s v="Karachi"/>
    <x v="1"/>
    <s v="Premium"/>
    <s v="Salary"/>
    <s v="salary"/>
    <s v="Bill Payment"/>
    <s v="Bill Payment"/>
    <x v="3"/>
    <s v="Internet Banking"/>
    <n v="28546.38"/>
    <n v="60.66"/>
    <x v="0"/>
    <s v="Completed"/>
    <s v="Sana"/>
  </r>
  <r>
    <x v="165"/>
    <x v="21"/>
    <d v="2026-09-25T00:00:00"/>
    <x v="2"/>
    <s v="Hyderabad"/>
    <s v="Hyderabad"/>
    <s v="Hyderabad"/>
    <x v="1"/>
    <s v="Premium"/>
    <s v="Savings"/>
    <s v="Savings"/>
    <s v="Transfer"/>
    <s v="Transfer"/>
    <x v="1"/>
    <s v="ATM"/>
    <n v="138003.95000000001"/>
    <n v="143.22999999999999"/>
    <x v="0"/>
    <s v="Completed"/>
    <s v="Sana"/>
  </r>
  <r>
    <x v="166"/>
    <x v="5"/>
    <d v="2025-01-05T00:00:00"/>
    <x v="1"/>
    <s v="Larkana"/>
    <s v="Larkana"/>
    <s v="Larkana"/>
    <x v="3"/>
    <s v="Corporate"/>
    <s v="Savings"/>
    <s v="Savings"/>
    <s v="Transfer"/>
    <s v="Transfer"/>
    <x v="0"/>
    <s v="mobile app"/>
    <n v="156988.45000000001"/>
    <n v="161.76"/>
    <x v="0"/>
    <s v="Completed"/>
    <s v="Maham"/>
  </r>
  <r>
    <x v="167"/>
    <x v="5"/>
    <d v="2025-01-25T00:00:00"/>
    <x v="1"/>
    <s v="Larkana"/>
    <s v="Larkana"/>
    <s v="Larkana"/>
    <x v="2"/>
    <s v="SME"/>
    <s v="Salary"/>
    <s v="salary"/>
    <s v="Transfer"/>
    <s v="Transfer"/>
    <x v="0"/>
    <s v="mobile app"/>
    <n v="45513.79"/>
    <n v="96.58"/>
    <x v="0"/>
    <s v="Completed"/>
    <s v="Maham"/>
  </r>
  <r>
    <x v="168"/>
    <x v="21"/>
    <d v="2026-09-23T00:00:00"/>
    <x v="0"/>
    <s v="Sukher"/>
    <s v="Sukher"/>
    <s v="Sukher"/>
    <x v="3"/>
    <s v="Corporate"/>
    <s v="Current"/>
    <s v="Current"/>
    <s v="Transfer"/>
    <s v="Transfer"/>
    <x v="3"/>
    <s v="Internet Banking"/>
    <n v="55566.51"/>
    <n v="74.38"/>
    <x v="1"/>
    <s v="Pending"/>
    <s v="Bilal"/>
  </r>
  <r>
    <x v="169"/>
    <x v="18"/>
    <d v="2025-12-24T00:00:00"/>
    <x v="2"/>
    <s v="Hyderabad"/>
    <s v="Hyderabad"/>
    <s v="Hyderabad"/>
    <x v="1"/>
    <s v="Premium"/>
    <s v="Current"/>
    <s v="Current"/>
    <s v="Deposit"/>
    <s v="Deposit"/>
    <x v="2"/>
    <s v="Branch"/>
    <n v="73104.59"/>
    <n v="0"/>
    <x v="0"/>
    <s v="Completed"/>
    <s v="Iqra"/>
  </r>
  <r>
    <x v="170"/>
    <x v="8"/>
    <d v="2025-08-09T00:00:00"/>
    <x v="3"/>
    <s v="Nawabshah"/>
    <s v="Shaheed Benazirabad"/>
    <s v="Shaheed Benazirabad"/>
    <x v="2"/>
    <s v="SME"/>
    <s v="Current"/>
    <s v="Current"/>
    <s v="Bill Payment"/>
    <s v="Bill Payment"/>
    <x v="2"/>
    <s v="Branch"/>
    <n v="5333.5"/>
    <n v="33.22"/>
    <x v="0"/>
    <s v="Completed"/>
    <s v="Maham"/>
  </r>
  <r>
    <x v="171"/>
    <x v="6"/>
    <d v="2026-07-04T00:00:00"/>
    <x v="1"/>
    <s v="Larkana"/>
    <s v="Larkana"/>
    <s v="Larkana"/>
    <x v="0"/>
    <s v="retail"/>
    <s v="Salary"/>
    <s v="salary"/>
    <s v="Bill Payment"/>
    <s v="Bill Payment"/>
    <x v="1"/>
    <s v="ATM"/>
    <n v="17522.57"/>
    <n v="89.72"/>
    <x v="0"/>
    <s v="Completed"/>
    <s v="Maham"/>
  </r>
  <r>
    <x v="172"/>
    <x v="16"/>
    <d v="2025-10-19T00:00:00"/>
    <x v="4"/>
    <s v="Karachi Main"/>
    <s v="Karachi"/>
    <s v="Karachi"/>
    <x v="0"/>
    <s v="retail"/>
    <s v="Salary"/>
    <s v="salary"/>
    <s v="Deposit"/>
    <s v="Deposit"/>
    <x v="3"/>
    <s v="Internet Banking"/>
    <n v="87106.25"/>
    <n v="0"/>
    <x v="0"/>
    <s v="Completed"/>
    <s v="Bilal"/>
  </r>
  <r>
    <x v="173"/>
    <x v="4"/>
    <d v="2025-07-10T00:00:00"/>
    <x v="2"/>
    <s v="Hyderabad"/>
    <s v="Hyderabad"/>
    <s v="Hyderabad"/>
    <x v="0"/>
    <s v="retail"/>
    <s v="Savings"/>
    <s v="Savings"/>
    <s v="Bill Payment"/>
    <s v="Bill Payment"/>
    <x v="3"/>
    <s v="Internet Banking"/>
    <n v="10661.3"/>
    <n v="87.67"/>
    <x v="0"/>
    <s v="Completed"/>
    <s v="Bilal"/>
  </r>
  <r>
    <x v="174"/>
    <x v="0"/>
    <d v="2026-10-11T00:00:00"/>
    <x v="2"/>
    <s v="Hyderabad"/>
    <s v="Hyderabad"/>
    <s v="Hyderabad"/>
    <x v="3"/>
    <s v="Corporate"/>
    <s v="Current"/>
    <s v="Current"/>
    <s v="Bill Payment"/>
    <s v="Bill Payment"/>
    <x v="2"/>
    <s v="Branch"/>
    <n v="10844.04"/>
    <n v="91.11"/>
    <x v="0"/>
    <s v="Completed"/>
    <s v="Maham"/>
  </r>
  <r>
    <x v="175"/>
    <x v="1"/>
    <d v="2025-05-27T00:00:00"/>
    <x v="3"/>
    <s v="Nawabshah"/>
    <s v="Shaheed Benazirabad"/>
    <s v="Shaheed Benazirabad"/>
    <x v="2"/>
    <s v="SME"/>
    <s v="Savings"/>
    <s v="Savings"/>
    <s v="Transfer"/>
    <s v="Transfer"/>
    <x v="3"/>
    <s v="Internet Banking"/>
    <n v="81565.48"/>
    <n v="106.72"/>
    <x v="0"/>
    <s v="Completed"/>
    <s v="Iqra"/>
  </r>
  <r>
    <x v="176"/>
    <x v="5"/>
    <d v="2025-01-07T00:00:00"/>
    <x v="0"/>
    <s v="Sukher"/>
    <s v="Sukher"/>
    <s v="Sukher"/>
    <x v="0"/>
    <s v="retail"/>
    <s v="Salary"/>
    <s v="salary"/>
    <s v="Transfer"/>
    <s v="Transfer"/>
    <x v="1"/>
    <s v="ATM"/>
    <n v="123599.61"/>
    <n v="168.28"/>
    <x v="0"/>
    <s v="Completed"/>
    <s v="Bilal"/>
  </r>
  <r>
    <x v="177"/>
    <x v="19"/>
    <d v="2026-11-02T00:00:00"/>
    <x v="1"/>
    <s v="Larkana"/>
    <s v="Larkana"/>
    <s v="Larkana"/>
    <x v="0"/>
    <s v="retail"/>
    <s v="Salary"/>
    <s v="salary"/>
    <s v="Bill Payment"/>
    <s v="Bill Payment"/>
    <x v="0"/>
    <s v="mobile app"/>
    <n v="8446.35"/>
    <n v="94.42"/>
    <x v="0"/>
    <s v="Completed"/>
    <s v="Maham"/>
  </r>
  <r>
    <x v="178"/>
    <x v="1"/>
    <d v="2025-05-10T00:00:00"/>
    <x v="4"/>
    <s v="Karachi Main"/>
    <s v="Karachi"/>
    <s v="Karachi"/>
    <x v="3"/>
    <s v="Corporate"/>
    <s v="Current"/>
    <s v="Current"/>
    <s v="Withdrawal"/>
    <s v="Withdrawal"/>
    <x v="0"/>
    <s v="mobile app"/>
    <n v="29228.01"/>
    <n v="0"/>
    <x v="0"/>
    <s v="Completed"/>
    <s v="Bilal"/>
  </r>
  <r>
    <x v="179"/>
    <x v="8"/>
    <d v="2025-08-12T00:00:00"/>
    <x v="1"/>
    <s v="Larkana"/>
    <s v="Larkana"/>
    <s v="Larkana"/>
    <x v="1"/>
    <s v="Premium"/>
    <s v="Savings"/>
    <s v="Savings"/>
    <s v="Withdrawal"/>
    <s v="Withdrawal"/>
    <x v="2"/>
    <s v="Branch"/>
    <n v="72780.759999999995"/>
    <n v="0"/>
    <x v="0"/>
    <s v="Completed"/>
    <s v="Bilal"/>
  </r>
  <r>
    <x v="180"/>
    <x v="15"/>
    <d v="2026-08-18T00:00:00"/>
    <x v="0"/>
    <s v="Sukher"/>
    <s v="Sukher"/>
    <s v="Sukher"/>
    <x v="1"/>
    <s v="Premium"/>
    <s v="Savings"/>
    <s v="Savings"/>
    <s v="Deposit"/>
    <s v="Deposit"/>
    <x v="0"/>
    <s v="mobile app"/>
    <n v="69741.23"/>
    <n v="0"/>
    <x v="0"/>
    <s v="Completed"/>
    <s v="Iqra"/>
  </r>
  <r>
    <x v="181"/>
    <x v="17"/>
    <d v="2025-11-17T00:00:00"/>
    <x v="2"/>
    <s v="Hyderabad"/>
    <s v="Hyderabad"/>
    <s v="Hyderabad"/>
    <x v="2"/>
    <s v="SME"/>
    <s v="Current"/>
    <s v="Current"/>
    <s v="Bill Payment"/>
    <s v="Bill Payment"/>
    <x v="2"/>
    <s v="Branch"/>
    <n v="4444.58"/>
    <n v="95.91"/>
    <x v="0"/>
    <s v="Completed"/>
    <s v="Bilal"/>
  </r>
  <r>
    <x v="182"/>
    <x v="10"/>
    <d v="2025-03-19T00:00:00"/>
    <x v="1"/>
    <s v="Larkana"/>
    <s v="Larkana"/>
    <s v="Larkana"/>
    <x v="2"/>
    <s v="SME"/>
    <s v="Current"/>
    <s v="Current"/>
    <s v="Transfer"/>
    <s v="Transfer"/>
    <x v="2"/>
    <s v="Branch"/>
    <n v="38907.800000000003"/>
    <n v="170.01"/>
    <x v="0"/>
    <s v="Completed"/>
    <s v="Iqra"/>
  </r>
  <r>
    <x v="183"/>
    <x v="0"/>
    <d v="2026-10-24T00:00:00"/>
    <x v="2"/>
    <s v="Hyderabad"/>
    <s v="Hyderabad"/>
    <s v="Hyderabad"/>
    <x v="3"/>
    <s v="Corporate"/>
    <s v="Salary"/>
    <s v="salary"/>
    <s v="Withdrawal"/>
    <s v="Withdrawal"/>
    <x v="3"/>
    <s v="Internet Banking"/>
    <n v="68170.42"/>
    <n v="0"/>
    <x v="0"/>
    <s v="Completed"/>
    <s v="Iqra"/>
  </r>
  <r>
    <x v="184"/>
    <x v="17"/>
    <d v="2025-11-28T00:00:00"/>
    <x v="0"/>
    <s v="Sukher"/>
    <s v="Sukher"/>
    <s v="Sukher"/>
    <x v="2"/>
    <s v="SME"/>
    <s v="Savings"/>
    <s v="Savings"/>
    <s v="Transfer"/>
    <s v="Transfer"/>
    <x v="3"/>
    <s v="Internet Banking"/>
    <n v="97584.88"/>
    <n v="99.88"/>
    <x v="0"/>
    <s v="Completed"/>
    <s v="Maham"/>
  </r>
  <r>
    <x v="185"/>
    <x v="16"/>
    <d v="2025-10-05T00:00:00"/>
    <x v="2"/>
    <s v="Hyderabad"/>
    <s v="Hyderabad"/>
    <s v="Hyderabad"/>
    <x v="1"/>
    <s v="Premium"/>
    <s v="Savings"/>
    <s v="Savings"/>
    <s v="Withdrawal"/>
    <s v="Withdrawal"/>
    <x v="1"/>
    <s v="ATM"/>
    <n v="27085.82"/>
    <n v="0"/>
    <x v="0"/>
    <s v="Completed"/>
    <s v="Bilal"/>
  </r>
  <r>
    <x v="186"/>
    <x v="23"/>
    <d v="2026-04-01T00:00:00"/>
    <x v="0"/>
    <s v="Sukher"/>
    <s v="Sukher"/>
    <s v="Sukher"/>
    <x v="0"/>
    <s v="retail"/>
    <s v="Savings"/>
    <s v="Savings"/>
    <s v="Deposit"/>
    <s v="Deposit"/>
    <x v="1"/>
    <s v="ATM"/>
    <n v="41349.49"/>
    <n v="0"/>
    <x v="0"/>
    <s v="Completed"/>
    <s v="Farhan"/>
  </r>
  <r>
    <x v="187"/>
    <x v="18"/>
    <d v="2025-12-22T00:00:00"/>
    <x v="0"/>
    <s v="Sukher"/>
    <s v="Sukher"/>
    <s v="Sukher"/>
    <x v="1"/>
    <s v="Premium"/>
    <s v="Savings"/>
    <s v="Savings"/>
    <s v="Bill Payment"/>
    <s v="Bill Payment"/>
    <x v="3"/>
    <s v="Internet Banking"/>
    <n v="26797.13"/>
    <n v="96.42"/>
    <x v="0"/>
    <s v="Completed"/>
    <s v="Iqra"/>
  </r>
  <r>
    <x v="188"/>
    <x v="2"/>
    <d v="2025-02-10T00:00:00"/>
    <x v="0"/>
    <s v="Sukher"/>
    <s v="Sukher"/>
    <s v="Sukher"/>
    <x v="3"/>
    <s v="Corporate"/>
    <s v="Current"/>
    <s v="Current"/>
    <s v="Deposit"/>
    <s v="Deposit"/>
    <x v="2"/>
    <s v="Branch"/>
    <n v="46912.31"/>
    <n v="0"/>
    <x v="0"/>
    <s v="Completed"/>
    <s v="Sana"/>
  </r>
  <r>
    <x v="189"/>
    <x v="19"/>
    <d v="2026-11-21T00:00:00"/>
    <x v="0"/>
    <s v="Sukher"/>
    <s v="Sukher"/>
    <s v="Sukher"/>
    <x v="2"/>
    <s v="SME"/>
    <s v="Current"/>
    <s v="Current"/>
    <s v="Deposit"/>
    <s v="Deposit"/>
    <x v="2"/>
    <s v="Branch"/>
    <n v="82152.72"/>
    <n v="0"/>
    <x v="0"/>
    <s v="Completed"/>
    <s v="Iqra"/>
  </r>
  <r>
    <x v="190"/>
    <x v="1"/>
    <d v="2025-05-16T00:00:00"/>
    <x v="2"/>
    <s v="Hyderabad"/>
    <s v="Hyderabad"/>
    <s v="Hyderabad"/>
    <x v="1"/>
    <s v="Premium"/>
    <s v="Salary"/>
    <s v="salary"/>
    <s v="Bill Payment"/>
    <s v="Bill Payment"/>
    <x v="0"/>
    <s v="mobile app"/>
    <n v="12205.88"/>
    <n v="24.09"/>
    <x v="0"/>
    <s v="Completed"/>
    <s v="Sana"/>
  </r>
  <r>
    <x v="191"/>
    <x v="16"/>
    <d v="2025-10-18T00:00:00"/>
    <x v="1"/>
    <s v="Larkana"/>
    <s v="Larkana"/>
    <s v="Larkana"/>
    <x v="0"/>
    <s v="retail"/>
    <s v="Savings"/>
    <s v="Savings"/>
    <s v="Transfer"/>
    <s v="Transfer"/>
    <x v="1"/>
    <s v="ATM"/>
    <n v="94919.33"/>
    <n v="127.82"/>
    <x v="0"/>
    <s v="Completed"/>
    <s v="Farhan"/>
  </r>
  <r>
    <x v="192"/>
    <x v="9"/>
    <d v="2026-03-01T00:00:00"/>
    <x v="2"/>
    <s v="Hyderabad"/>
    <s v="Hyderabad"/>
    <s v="Hyderabad"/>
    <x v="3"/>
    <s v="Corporate"/>
    <s v="Salary"/>
    <s v="salary"/>
    <s v="Deposit"/>
    <s v="Deposit"/>
    <x v="1"/>
    <s v="ATM"/>
    <n v="56099.98"/>
    <n v="0"/>
    <x v="0"/>
    <s v="Completed"/>
    <s v="Bilal"/>
  </r>
  <r>
    <x v="193"/>
    <x v="16"/>
    <d v="2025-10-25T00:00:00"/>
    <x v="4"/>
    <s v="Karachi Main"/>
    <s v="Karachi"/>
    <s v="Karachi"/>
    <x v="3"/>
    <s v="Corporate"/>
    <s v="Current"/>
    <s v="Current"/>
    <s v="Transfer"/>
    <s v="Transfer"/>
    <x v="0"/>
    <s v="mobile app"/>
    <n v="158572.91"/>
    <n v="147.21"/>
    <x v="0"/>
    <s v="Completed"/>
    <s v="Iqra"/>
  </r>
  <r>
    <x v="194"/>
    <x v="10"/>
    <d v="2025-03-08T00:00:00"/>
    <x v="2"/>
    <s v="Hyderabad"/>
    <s v="Hyderabad"/>
    <s v="Hyderabad"/>
    <x v="2"/>
    <s v="SME"/>
    <s v="Salary"/>
    <s v="salary"/>
    <s v="Withdrawal"/>
    <s v="Withdrawal"/>
    <x v="3"/>
    <s v="Internet Banking"/>
    <n v="9992.43"/>
    <n v="0"/>
    <x v="0"/>
    <s v="Completed"/>
    <s v="Iqra"/>
  </r>
  <r>
    <x v="195"/>
    <x v="9"/>
    <d v="2026-03-14T00:00:00"/>
    <x v="0"/>
    <s v="Sukher"/>
    <s v="Sukher"/>
    <s v="Sukher"/>
    <x v="3"/>
    <s v="Corporate"/>
    <s v="Current"/>
    <s v="Current"/>
    <s v="Bill Payment"/>
    <s v="Bill Payment"/>
    <x v="2"/>
    <s v="Branch"/>
    <n v="1682.51"/>
    <n v="73.27"/>
    <x v="0"/>
    <s v="Completed"/>
    <s v="Maham"/>
  </r>
  <r>
    <x v="196"/>
    <x v="10"/>
    <d v="2025-03-06T00:00:00"/>
    <x v="2"/>
    <s v="Hyderabad"/>
    <s v="Hyderabad"/>
    <s v="Hyderabad"/>
    <x v="3"/>
    <s v="Corporate"/>
    <s v="Savings"/>
    <s v="Savings"/>
    <s v="Withdrawal"/>
    <s v="Withdrawal"/>
    <x v="1"/>
    <s v="ATM"/>
    <n v="40593.410000000003"/>
    <n v="0"/>
    <x v="0"/>
    <s v="Completed"/>
    <s v="Sana"/>
  </r>
  <r>
    <x v="197"/>
    <x v="10"/>
    <d v="2025-03-14T00:00:00"/>
    <x v="2"/>
    <s v="Hyderabad"/>
    <s v="Hyderabad"/>
    <s v="Hyderabad"/>
    <x v="0"/>
    <s v="retail"/>
    <s v="Salary"/>
    <s v="salary"/>
    <s v="Transfer"/>
    <s v="Transfer"/>
    <x v="3"/>
    <s v="Internet Banking"/>
    <n v="21479.31"/>
    <n v="35.75"/>
    <x v="0"/>
    <s v="Completed"/>
    <s v="Maham"/>
  </r>
  <r>
    <x v="198"/>
    <x v="21"/>
    <d v="2026-09-10T00:00:00"/>
    <x v="4"/>
    <s v="Karachi Main"/>
    <s v="Karachi"/>
    <s v="Karachi"/>
    <x v="3"/>
    <s v="Corporate"/>
    <s v="Current"/>
    <s v="Current"/>
    <s v="Deposit"/>
    <s v="Deposit"/>
    <x v="1"/>
    <s v="ATM"/>
    <n v="76336.14"/>
    <n v="0"/>
    <x v="0"/>
    <s v="Completed"/>
    <s v="Ahmed"/>
  </r>
  <r>
    <x v="199"/>
    <x v="5"/>
    <d v="2025-01-03T00:00:00"/>
    <x v="0"/>
    <s v="Sukher"/>
    <s v="Sukher"/>
    <s v="Sukher"/>
    <x v="0"/>
    <s v="retail"/>
    <s v="Savings"/>
    <s v="Savings"/>
    <s v="Bill Payment"/>
    <s v="Bill Payment"/>
    <x v="1"/>
    <s v="ATM"/>
    <n v="10951.68"/>
    <n v="19.260000000000002"/>
    <x v="0"/>
    <s v="Completed"/>
    <s v="Bilal"/>
  </r>
  <r>
    <x v="200"/>
    <x v="17"/>
    <d v="2025-11-15T00:00:00"/>
    <x v="2"/>
    <s v="Hyderabad"/>
    <s v="Hyderabad"/>
    <s v="Hyderabad"/>
    <x v="0"/>
    <s v="retail"/>
    <s v="Savings"/>
    <s v="Savings"/>
    <s v="Bill Payment"/>
    <s v="Bill Payment"/>
    <x v="0"/>
    <s v="mobile app"/>
    <n v="8976.43"/>
    <n v="87.97"/>
    <x v="0"/>
    <s v="Completed"/>
    <s v="Sana"/>
  </r>
  <r>
    <x v="201"/>
    <x v="3"/>
    <d v="2026-01-26T00:00:00"/>
    <x v="1"/>
    <s v="Larkana"/>
    <s v="Larkana"/>
    <s v="Larkana"/>
    <x v="1"/>
    <s v="Premium"/>
    <s v="Salary"/>
    <s v="salary"/>
    <s v="Deposit"/>
    <s v="Deposit"/>
    <x v="3"/>
    <s v="Internet Banking"/>
    <n v="103808.97"/>
    <n v="0"/>
    <x v="0"/>
    <s v="Completed"/>
    <s v="Bilal"/>
  </r>
  <r>
    <x v="202"/>
    <x v="2"/>
    <d v="2025-02-28T00:00:00"/>
    <x v="2"/>
    <s v="Hyderabad"/>
    <s v="Hyderabad"/>
    <s v="Hyderabad"/>
    <x v="2"/>
    <s v="SME"/>
    <s v="Current"/>
    <s v="Current"/>
    <s v="Transfer"/>
    <s v="Transfer"/>
    <x v="0"/>
    <s v="mobile app"/>
    <n v="84465.84"/>
    <n v="74.14"/>
    <x v="0"/>
    <s v="Completed"/>
    <s v="Iqra"/>
  </r>
  <r>
    <x v="203"/>
    <x v="7"/>
    <d v="2025-06-02T00:00:00"/>
    <x v="3"/>
    <s v="Nawabshah"/>
    <s v="Shaheed Benazirabad"/>
    <s v="Shaheed Benazirabad"/>
    <x v="2"/>
    <s v="SME"/>
    <s v="Salary"/>
    <s v="salary"/>
    <s v="Withdrawal"/>
    <s v="Withdrawal"/>
    <x v="3"/>
    <s v="Internet Banking"/>
    <n v="47159.21"/>
    <n v="0"/>
    <x v="0"/>
    <s v="Completed"/>
    <s v="Sana"/>
  </r>
  <r>
    <x v="204"/>
    <x v="6"/>
    <d v="2026-07-08T00:00:00"/>
    <x v="2"/>
    <s v="Hyderabad"/>
    <s v="Hyderabad"/>
    <s v="Hyderabad"/>
    <x v="1"/>
    <s v="Premium"/>
    <s v="Savings"/>
    <s v="Savings"/>
    <s v="Bill Payment"/>
    <s v="Bill Payment"/>
    <x v="1"/>
    <s v="ATM"/>
    <n v="9401.4699999999993"/>
    <n v="79.12"/>
    <x v="0"/>
    <s v="Completed"/>
    <s v="Farhan"/>
  </r>
  <r>
    <x v="205"/>
    <x v="2"/>
    <d v="2025-02-07T00:00:00"/>
    <x v="4"/>
    <s v="Karachi Main"/>
    <s v="Karachi"/>
    <s v="Karachi"/>
    <x v="2"/>
    <s v="SME"/>
    <s v="Salary"/>
    <s v="salary"/>
    <s v="Transfer"/>
    <s v="Transfer"/>
    <x v="0"/>
    <s v="mobile app"/>
    <n v="55112.23"/>
    <n v="102.47"/>
    <x v="0"/>
    <s v="Completed"/>
    <s v="Ahmed"/>
  </r>
  <r>
    <x v="206"/>
    <x v="10"/>
    <d v="2025-03-11T00:00:00"/>
    <x v="3"/>
    <s v="Nawabshah"/>
    <s v="Shaheed Benazirabad"/>
    <s v="Shaheed Benazirabad"/>
    <x v="3"/>
    <s v="Corporate"/>
    <s v="Savings"/>
    <s v="Savings"/>
    <s v="Transfer"/>
    <s v="Transfer"/>
    <x v="2"/>
    <s v="Branch"/>
    <n v="76741.649999999994"/>
    <n v="167.85"/>
    <x v="1"/>
    <s v="Pending"/>
    <s v="Bilal"/>
  </r>
  <r>
    <x v="207"/>
    <x v="19"/>
    <d v="2026-11-10T00:00:00"/>
    <x v="2"/>
    <s v="Hyderabad"/>
    <s v="Hyderabad"/>
    <s v="Hyderabad"/>
    <x v="0"/>
    <s v="retail"/>
    <s v="Current"/>
    <s v="Current"/>
    <s v="Withdrawal"/>
    <s v="Withdrawal"/>
    <x v="1"/>
    <s v="ATM"/>
    <n v="51201.59"/>
    <n v="0"/>
    <x v="0"/>
    <s v="Completed"/>
    <s v="Ahmed"/>
  </r>
  <r>
    <x v="208"/>
    <x v="14"/>
    <d v="2025-09-26T00:00:00"/>
    <x v="2"/>
    <s v="Hyderabad"/>
    <s v="Hyderabad"/>
    <s v="Hyderabad"/>
    <x v="1"/>
    <s v="Premium"/>
    <s v="Current"/>
    <s v="Current"/>
    <s v="Bill Payment"/>
    <s v="Bill Payment"/>
    <x v="2"/>
    <s v="Branch"/>
    <n v="25456.07"/>
    <n v="22.72"/>
    <x v="0"/>
    <s v="Completed"/>
    <s v="Farhan"/>
  </r>
  <r>
    <x v="209"/>
    <x v="14"/>
    <d v="2025-09-17T00:00:00"/>
    <x v="1"/>
    <s v="Larkana"/>
    <s v="Larkana"/>
    <s v="Larkana"/>
    <x v="2"/>
    <s v="SME"/>
    <s v="Current"/>
    <s v="Current"/>
    <s v="Withdrawal"/>
    <s v="Withdrawal"/>
    <x v="0"/>
    <s v="mobile app"/>
    <n v="24603.41"/>
    <n v="0"/>
    <x v="0"/>
    <s v="Completed"/>
    <s v="Iqra"/>
  </r>
  <r>
    <x v="210"/>
    <x v="6"/>
    <d v="2026-07-10T00:00:00"/>
    <x v="1"/>
    <s v="Larkana"/>
    <s v="Larkana"/>
    <s v="Larkana"/>
    <x v="1"/>
    <s v="Premium"/>
    <s v="Salary"/>
    <s v="salary"/>
    <s v="Bill Payment"/>
    <s v="Bill Payment"/>
    <x v="0"/>
    <s v="mobile app"/>
    <n v="7081.85"/>
    <n v="46.84"/>
    <x v="0"/>
    <s v="Completed"/>
    <s v="Ahmed"/>
  </r>
  <r>
    <x v="211"/>
    <x v="16"/>
    <d v="2025-10-16T00:00:00"/>
    <x v="0"/>
    <s v="Sukher"/>
    <s v="Sukher"/>
    <s v="Sukher"/>
    <x v="3"/>
    <s v="Corporate"/>
    <s v="Savings"/>
    <s v="Savings"/>
    <s v="Withdrawal"/>
    <s v="Withdrawal"/>
    <x v="2"/>
    <s v="Branch"/>
    <n v="2312.62"/>
    <n v="0"/>
    <x v="0"/>
    <s v="Completed"/>
    <s v="Bilal"/>
  </r>
  <r>
    <x v="212"/>
    <x v="4"/>
    <d v="2025-07-27T00:00:00"/>
    <x v="4"/>
    <s v="Karachi Main"/>
    <s v="Karachi"/>
    <s v="Karachi"/>
    <x v="1"/>
    <s v="Premium"/>
    <s v="Current"/>
    <s v="Current"/>
    <s v="Deposit"/>
    <s v="Deposit"/>
    <x v="2"/>
    <s v="Branch"/>
    <n v="102212.88"/>
    <n v="0"/>
    <x v="0"/>
    <s v="Completed"/>
    <s v="Bilal"/>
  </r>
  <r>
    <x v="213"/>
    <x v="3"/>
    <d v="2026-01-26T00:00:00"/>
    <x v="0"/>
    <s v="Sukher"/>
    <s v="Sukher"/>
    <s v="Sukher"/>
    <x v="1"/>
    <s v="Premium"/>
    <s v="Savings"/>
    <s v="Savings"/>
    <s v="Bill Payment"/>
    <s v="Bill Payment"/>
    <x v="1"/>
    <s v="ATM"/>
    <n v="17959.740000000002"/>
    <n v="37.26"/>
    <x v="1"/>
    <s v="Pending"/>
    <s v="Farhan"/>
  </r>
  <r>
    <x v="214"/>
    <x v="8"/>
    <d v="2025-08-26T00:00:00"/>
    <x v="4"/>
    <s v="Karachi Main"/>
    <s v="Karachi"/>
    <s v="Karachi"/>
    <x v="1"/>
    <s v="Premium"/>
    <s v="Current"/>
    <s v="Current"/>
    <s v="Transfer"/>
    <s v="Transfer"/>
    <x v="0"/>
    <s v="mobile app"/>
    <n v="78497.69"/>
    <n v="155.26"/>
    <x v="0"/>
    <s v="Completed"/>
    <s v="Ahmed"/>
  </r>
  <r>
    <x v="215"/>
    <x v="10"/>
    <d v="2025-03-13T00:00:00"/>
    <x v="2"/>
    <s v="Hyderabad"/>
    <s v="Hyderabad"/>
    <s v="Hyderabad"/>
    <x v="3"/>
    <s v="Corporate"/>
    <s v="Current"/>
    <s v="Current"/>
    <s v="Deposit"/>
    <s v="Deposit"/>
    <x v="3"/>
    <s v="Internet Banking"/>
    <n v="68706.73"/>
    <n v="0"/>
    <x v="1"/>
    <s v="Pending"/>
    <s v="Ahmed"/>
  </r>
  <r>
    <x v="216"/>
    <x v="23"/>
    <d v="2026-04-08T00:00:00"/>
    <x v="2"/>
    <s v="Hyderabad"/>
    <s v="Hyderabad"/>
    <s v="Hyderabad"/>
    <x v="2"/>
    <s v="SME"/>
    <s v="Savings"/>
    <s v="Savings"/>
    <s v="Deposit"/>
    <s v="Deposit"/>
    <x v="1"/>
    <s v="ATM"/>
    <n v="74348.820000000007"/>
    <n v="0"/>
    <x v="0"/>
    <s v="Completed"/>
    <s v="Sana"/>
  </r>
  <r>
    <x v="217"/>
    <x v="14"/>
    <d v="2025-09-15T00:00:00"/>
    <x v="1"/>
    <s v="Larkana"/>
    <s v="Larkana"/>
    <s v="Larkana"/>
    <x v="0"/>
    <s v="retail"/>
    <s v="Savings"/>
    <s v="Savings"/>
    <s v="Withdrawal"/>
    <s v="Withdrawal"/>
    <x v="2"/>
    <s v="Branch"/>
    <n v="47764.75"/>
    <n v="0"/>
    <x v="0"/>
    <s v="Completed"/>
    <s v="Maham"/>
  </r>
  <r>
    <x v="218"/>
    <x v="14"/>
    <d v="2025-09-24T00:00:00"/>
    <x v="1"/>
    <s v="Larkana"/>
    <s v="Larkana"/>
    <s v="Larkana"/>
    <x v="1"/>
    <s v="Premium"/>
    <s v="Salary"/>
    <s v="salary"/>
    <s v="Withdrawal"/>
    <s v="Withdrawal"/>
    <x v="1"/>
    <s v="ATM"/>
    <n v="32795.74"/>
    <n v="0"/>
    <x v="0"/>
    <s v="Completed"/>
    <s v="Ahmed"/>
  </r>
  <r>
    <x v="219"/>
    <x v="13"/>
    <d v="2026-06-03T00:00:00"/>
    <x v="0"/>
    <s v="Sukher"/>
    <s v="Sukher"/>
    <s v="Sukher"/>
    <x v="2"/>
    <s v="SME"/>
    <s v="Current"/>
    <s v="Current"/>
    <s v="Withdrawal"/>
    <s v="Withdrawal"/>
    <x v="3"/>
    <s v="Internet Banking"/>
    <n v="68131.11"/>
    <n v="0"/>
    <x v="0"/>
    <s v="Completed"/>
    <s v="Bilal"/>
  </r>
  <r>
    <x v="220"/>
    <x v="18"/>
    <d v="2025-12-18T00:00:00"/>
    <x v="1"/>
    <s v="Larkana"/>
    <s v="Larkana"/>
    <s v="Larkana"/>
    <x v="1"/>
    <s v="Premium"/>
    <s v="Current"/>
    <s v="Current"/>
    <s v="Bill Payment"/>
    <s v="Bill Payment"/>
    <x v="0"/>
    <s v="mobile app"/>
    <n v="8157.28"/>
    <n v="84.41"/>
    <x v="0"/>
    <s v="Completed"/>
    <s v="Ahmed"/>
  </r>
  <r>
    <x v="221"/>
    <x v="14"/>
    <d v="2025-09-16T00:00:00"/>
    <x v="4"/>
    <s v="Karachi Main"/>
    <s v="Karachi"/>
    <s v="Karachi"/>
    <x v="2"/>
    <s v="SME"/>
    <s v="Salary"/>
    <s v="salary"/>
    <s v="Deposit"/>
    <s v="Deposit"/>
    <x v="2"/>
    <s v="Branch"/>
    <n v="85535.53"/>
    <n v="0"/>
    <x v="0"/>
    <s v="Completed"/>
    <s v="Iqra"/>
  </r>
  <r>
    <x v="222"/>
    <x v="15"/>
    <d v="2026-08-24T00:00:00"/>
    <x v="1"/>
    <s v="Larkana"/>
    <s v="Larkana"/>
    <s v="Larkana"/>
    <x v="2"/>
    <s v="SME"/>
    <s v="Savings"/>
    <s v="Savings"/>
    <s v="Transfer"/>
    <s v="Transfer"/>
    <x v="2"/>
    <s v="Branch"/>
    <n v="160803.29"/>
    <n v="167.21"/>
    <x v="0"/>
    <s v="Completed"/>
    <s v="Maham"/>
  </r>
  <r>
    <x v="223"/>
    <x v="1"/>
    <d v="2025-05-24T00:00:00"/>
    <x v="4"/>
    <s v="Karachi Main"/>
    <s v="Karachi"/>
    <s v="Karachi"/>
    <x v="1"/>
    <s v="Premium"/>
    <s v="Savings"/>
    <s v="Savings"/>
    <s v="Transfer"/>
    <s v="Transfer"/>
    <x v="0"/>
    <s v="mobile app"/>
    <n v="158390.26"/>
    <n v="149.91"/>
    <x v="0"/>
    <s v="Completed"/>
    <s v="Farhan"/>
  </r>
  <r>
    <x v="224"/>
    <x v="5"/>
    <d v="2025-01-07T00:00:00"/>
    <x v="1"/>
    <s v="Larkana"/>
    <s v="Larkana"/>
    <s v="Larkana"/>
    <x v="3"/>
    <s v="Corporate"/>
    <s v="Savings"/>
    <s v="Savings"/>
    <s v="Transfer"/>
    <s v="Transfer"/>
    <x v="0"/>
    <s v="mobile app"/>
    <n v="121372.97"/>
    <n v="148.76"/>
    <x v="0"/>
    <s v="Completed"/>
    <s v="Iqra"/>
  </r>
  <r>
    <x v="225"/>
    <x v="19"/>
    <d v="2026-11-22T00:00:00"/>
    <x v="3"/>
    <s v="Nawabshah"/>
    <s v="Shaheed Benazirabad"/>
    <s v="Shaheed Benazirabad"/>
    <x v="1"/>
    <s v="Premium"/>
    <s v="Current"/>
    <s v="Current"/>
    <s v="Transfer"/>
    <s v="Transfer"/>
    <x v="1"/>
    <s v="ATM"/>
    <n v="41055.160000000003"/>
    <n v="147.93"/>
    <x v="0"/>
    <s v="Completed"/>
    <s v="Bilal"/>
  </r>
  <r>
    <x v="226"/>
    <x v="18"/>
    <d v="2025-12-05T00:00:00"/>
    <x v="0"/>
    <s v="Sukher"/>
    <s v="Sukher"/>
    <s v="Sukher"/>
    <x v="1"/>
    <s v="Premium"/>
    <s v="Salary"/>
    <s v="salary"/>
    <s v="Withdrawal"/>
    <s v="Withdrawal"/>
    <x v="1"/>
    <s v="ATM"/>
    <n v="17639.169999999998"/>
    <n v="0"/>
    <x v="1"/>
    <s v="Pending"/>
    <s v="Farhan"/>
  </r>
  <r>
    <x v="227"/>
    <x v="12"/>
    <d v="2025-04-24T00:00:00"/>
    <x v="3"/>
    <s v="Nawabshah"/>
    <s v="Shaheed Benazirabad"/>
    <s v="Shaheed Benazirabad"/>
    <x v="3"/>
    <s v="Corporate"/>
    <s v="Savings"/>
    <s v="Savings"/>
    <s v="Bill Payment"/>
    <s v="Bill Payment"/>
    <x v="2"/>
    <s v="Branch"/>
    <n v="18116.13"/>
    <n v="93.97"/>
    <x v="0"/>
    <s v="Completed"/>
    <s v="Maham"/>
  </r>
  <r>
    <x v="228"/>
    <x v="13"/>
    <d v="2026-06-17T00:00:00"/>
    <x v="4"/>
    <s v="Karachi Main"/>
    <s v="Karachi"/>
    <s v="Karachi"/>
    <x v="1"/>
    <s v="Premium"/>
    <s v="Current"/>
    <s v="Current"/>
    <s v="Transfer"/>
    <s v="Transfer"/>
    <x v="2"/>
    <s v="Branch"/>
    <n v="46256.42"/>
    <n v="121.17"/>
    <x v="0"/>
    <s v="Completed"/>
    <s v="Sana"/>
  </r>
  <r>
    <x v="229"/>
    <x v="17"/>
    <d v="2025-11-11T00:00:00"/>
    <x v="4"/>
    <s v="Karachi Main"/>
    <s v="Karachi"/>
    <s v="Karachi"/>
    <x v="1"/>
    <s v="Premium"/>
    <s v="Salary"/>
    <s v="salary"/>
    <s v="Bill Payment"/>
    <s v="Bill Payment"/>
    <x v="3"/>
    <s v="Internet Banking"/>
    <n v="10145.48"/>
    <n v="90.95"/>
    <x v="0"/>
    <s v="Completed"/>
    <s v="Sana"/>
  </r>
  <r>
    <x v="230"/>
    <x v="17"/>
    <d v="2025-11-20T00:00:00"/>
    <x v="4"/>
    <s v="Karachi Main"/>
    <s v="Karachi"/>
    <s v="Karachi"/>
    <x v="1"/>
    <s v="Premium"/>
    <s v="Current"/>
    <s v="Current"/>
    <s v="Withdrawal"/>
    <s v="Withdrawal"/>
    <x v="3"/>
    <s v="Internet Banking"/>
    <n v="45461.71"/>
    <n v="0"/>
    <x v="0"/>
    <s v="Completed"/>
    <s v="Maham"/>
  </r>
  <r>
    <x v="231"/>
    <x v="21"/>
    <d v="2026-09-25T00:00:00"/>
    <x v="0"/>
    <s v="Sukher"/>
    <s v="Sukher"/>
    <s v="Sukher"/>
    <x v="1"/>
    <s v="Premium"/>
    <s v="Salary"/>
    <s v="salary"/>
    <s v="Bill Payment"/>
    <s v="Bill Payment"/>
    <x v="2"/>
    <s v="Branch"/>
    <n v="6526.47"/>
    <n v="81.63"/>
    <x v="0"/>
    <s v="Completed"/>
    <s v="Maham"/>
  </r>
  <r>
    <x v="232"/>
    <x v="1"/>
    <d v="2025-05-27T00:00:00"/>
    <x v="4"/>
    <s v="Karachi Main"/>
    <s v="Karachi"/>
    <s v="Karachi"/>
    <x v="3"/>
    <s v="Corporate"/>
    <s v="Savings"/>
    <s v="Savings"/>
    <s v="Withdrawal"/>
    <s v="Withdrawal"/>
    <x v="3"/>
    <s v="Internet Banking"/>
    <n v="68307.13"/>
    <n v="0"/>
    <x v="0"/>
    <s v="Completed"/>
    <s v="Sana"/>
  </r>
  <r>
    <x v="233"/>
    <x v="1"/>
    <d v="2025-05-25T00:00:00"/>
    <x v="3"/>
    <s v="Nawabshah"/>
    <s v="Shaheed Benazirabad"/>
    <s v="Shaheed Benazirabad"/>
    <x v="1"/>
    <s v="Premium"/>
    <s v="Salary"/>
    <s v="salary"/>
    <s v="Transfer"/>
    <s v="Transfer"/>
    <x v="0"/>
    <s v="mobile app"/>
    <n v="100020.21"/>
    <n v="114"/>
    <x v="0"/>
    <s v="Completed"/>
    <s v="Ahmed"/>
  </r>
  <r>
    <x v="234"/>
    <x v="9"/>
    <d v="2026-03-10T00:00:00"/>
    <x v="2"/>
    <s v="Hyderabad"/>
    <s v="Hyderabad"/>
    <s v="Hyderabad"/>
    <x v="1"/>
    <s v="Premium"/>
    <s v="Current"/>
    <s v="Current"/>
    <s v="Transfer"/>
    <s v="Transfer"/>
    <x v="1"/>
    <s v="ATM"/>
    <n v="5516.37"/>
    <n v="65.12"/>
    <x v="0"/>
    <s v="Completed"/>
    <s v="Bilal"/>
  </r>
  <r>
    <x v="235"/>
    <x v="1"/>
    <d v="2025-05-14T00:00:00"/>
    <x v="2"/>
    <s v="Hyderabad"/>
    <s v="Hyderabad"/>
    <s v="Hyderabad"/>
    <x v="0"/>
    <s v="retail"/>
    <s v="Current"/>
    <s v="Current"/>
    <s v="Bill Payment"/>
    <s v="Bill Payment"/>
    <x v="1"/>
    <s v="ATM"/>
    <n v="27687.95"/>
    <n v="38.56"/>
    <x v="0"/>
    <s v="Completed"/>
    <s v="Farhan"/>
  </r>
  <r>
    <x v="236"/>
    <x v="17"/>
    <d v="2025-11-13T00:00:00"/>
    <x v="4"/>
    <s v="Karachi Main"/>
    <s v="Karachi"/>
    <s v="Karachi"/>
    <x v="2"/>
    <s v="SME"/>
    <s v="Current"/>
    <s v="Current"/>
    <s v="Bill Payment"/>
    <s v="Bill Payment"/>
    <x v="3"/>
    <s v="Internet Banking"/>
    <n v="10778.25"/>
    <n v="14.81"/>
    <x v="0"/>
    <s v="Completed"/>
    <s v="Sana"/>
  </r>
  <r>
    <x v="237"/>
    <x v="21"/>
    <d v="2026-09-18T00:00:00"/>
    <x v="1"/>
    <s v="Larkana"/>
    <s v="Larkana"/>
    <s v="Larkana"/>
    <x v="2"/>
    <s v="SME"/>
    <s v="Salary"/>
    <s v="salary"/>
    <s v="Bill Payment"/>
    <s v="Bill Payment"/>
    <x v="2"/>
    <s v="Branch"/>
    <n v="26554.94"/>
    <n v="34.369999999999997"/>
    <x v="0"/>
    <s v="Completed"/>
    <s v="Farhan"/>
  </r>
  <r>
    <x v="238"/>
    <x v="5"/>
    <d v="2025-01-26T00:00:00"/>
    <x v="0"/>
    <s v="Sukher"/>
    <s v="Sukher"/>
    <s v="Sukher"/>
    <x v="0"/>
    <s v="retail"/>
    <s v="Salary"/>
    <s v="salary"/>
    <s v="Withdrawal"/>
    <s v="Withdrawal"/>
    <x v="1"/>
    <s v="ATM"/>
    <n v="73286.03"/>
    <n v="0"/>
    <x v="0"/>
    <s v="Completed"/>
    <s v="Farhan"/>
  </r>
  <r>
    <x v="239"/>
    <x v="16"/>
    <d v="2025-10-22T00:00:00"/>
    <x v="0"/>
    <s v="Sukher"/>
    <s v="Sukher"/>
    <s v="Sukher"/>
    <x v="3"/>
    <s v="Corporate"/>
    <s v="Salary"/>
    <s v="salary"/>
    <s v="Bill Payment"/>
    <s v="Bill Payment"/>
    <x v="3"/>
    <s v="Internet Banking"/>
    <n v="635.1"/>
    <n v="44.76"/>
    <x v="0"/>
    <s v="Completed"/>
    <s v="Maham"/>
  </r>
  <r>
    <x v="240"/>
    <x v="22"/>
    <d v="2026-12-02T00:00:00"/>
    <x v="0"/>
    <s v="Sukher"/>
    <s v="Sukher"/>
    <s v="Sukher"/>
    <x v="0"/>
    <s v="retail"/>
    <s v="Current"/>
    <s v="Current"/>
    <s v="Deposit"/>
    <s v="Deposit"/>
    <x v="2"/>
    <s v="Branch"/>
    <n v="97515.05"/>
    <n v="0"/>
    <x v="0"/>
    <s v="Completed"/>
    <s v="Maham"/>
  </r>
  <r>
    <x v="241"/>
    <x v="10"/>
    <d v="2025-03-11T00:00:00"/>
    <x v="1"/>
    <s v="Larkana"/>
    <s v="Larkana"/>
    <s v="Larkana"/>
    <x v="1"/>
    <s v="Premium"/>
    <s v="Current"/>
    <s v="Current"/>
    <s v="Bill Payment"/>
    <s v="Bill Payment"/>
    <x v="2"/>
    <s v="Branch"/>
    <n v="5289.32"/>
    <n v="25.86"/>
    <x v="0"/>
    <s v="Completed"/>
    <s v="Ahmed"/>
  </r>
  <r>
    <x v="242"/>
    <x v="10"/>
    <d v="2025-03-25T00:00:00"/>
    <x v="4"/>
    <s v="Karachi Main"/>
    <s v="Karachi"/>
    <s v="Karachi"/>
    <x v="3"/>
    <s v="Corporate"/>
    <s v="Savings"/>
    <s v="Savings"/>
    <s v="Withdrawal"/>
    <s v="Withdrawal"/>
    <x v="2"/>
    <s v="Branch"/>
    <n v="21666.03"/>
    <n v="0"/>
    <x v="1"/>
    <s v="Pending"/>
    <s v="Maham"/>
  </r>
  <r>
    <x v="243"/>
    <x v="15"/>
    <d v="2026-08-14T00:00:00"/>
    <x v="0"/>
    <s v="Sukher"/>
    <s v="Sukher"/>
    <s v="Sukher"/>
    <x v="1"/>
    <s v="Premium"/>
    <s v="Current"/>
    <s v="Current"/>
    <s v="Bill Payment"/>
    <s v="Bill Payment"/>
    <x v="1"/>
    <s v="ATM"/>
    <n v="2600.75"/>
    <n v="25.48"/>
    <x v="0"/>
    <s v="Completed"/>
    <s v="Iqra"/>
  </r>
  <r>
    <x v="244"/>
    <x v="14"/>
    <d v="2025-09-22T00:00:00"/>
    <x v="1"/>
    <s v="Larkana"/>
    <s v="Larkana"/>
    <s v="Larkana"/>
    <x v="2"/>
    <s v="SME"/>
    <s v="Savings"/>
    <s v="Savings"/>
    <s v="Withdrawal"/>
    <s v="Withdrawal"/>
    <x v="0"/>
    <s v="mobile app"/>
    <n v="52258.25"/>
    <n v="0"/>
    <x v="0"/>
    <s v="Completed"/>
    <s v="Farhan"/>
  </r>
  <r>
    <x v="245"/>
    <x v="5"/>
    <d v="2025-01-24T00:00:00"/>
    <x v="0"/>
    <s v="Sukher"/>
    <s v="Sukher"/>
    <s v="Sukher"/>
    <x v="3"/>
    <s v="Corporate"/>
    <s v="Salary"/>
    <s v="salary"/>
    <s v="Withdrawal"/>
    <s v="Withdrawal"/>
    <x v="1"/>
    <s v="ATM"/>
    <n v="7592.37"/>
    <n v="0"/>
    <x v="0"/>
    <s v="Completed"/>
    <s v="Farhan"/>
  </r>
  <r>
    <x v="246"/>
    <x v="23"/>
    <d v="2026-04-24T00:00:00"/>
    <x v="0"/>
    <s v="Sukher"/>
    <s v="Sukher"/>
    <s v="Sukher"/>
    <x v="2"/>
    <s v="SME"/>
    <s v="Current"/>
    <s v="Current"/>
    <s v="Withdrawal"/>
    <s v="Withdrawal"/>
    <x v="3"/>
    <s v="Internet Banking"/>
    <n v="10797.28"/>
    <n v="0"/>
    <x v="0"/>
    <s v="Completed"/>
    <s v="Farhan"/>
  </r>
  <r>
    <x v="247"/>
    <x v="17"/>
    <d v="2025-11-11T00:00:00"/>
    <x v="1"/>
    <s v="Larkana"/>
    <s v="Larkana"/>
    <s v="Larkana"/>
    <x v="0"/>
    <s v="retail"/>
    <s v="Savings"/>
    <s v="Savings"/>
    <s v="Withdrawal"/>
    <s v="Withdrawal"/>
    <x v="3"/>
    <s v="Internet Banking"/>
    <n v="43434.41"/>
    <n v="0"/>
    <x v="0"/>
    <s v="Completed"/>
    <s v="Maham"/>
  </r>
  <r>
    <x v="248"/>
    <x v="2"/>
    <d v="2025-02-19T00:00:00"/>
    <x v="2"/>
    <s v="Hyderabad"/>
    <s v="Hyderabad"/>
    <s v="Hyderabad"/>
    <x v="1"/>
    <s v="Premium"/>
    <s v="Savings"/>
    <s v="Savings"/>
    <s v="Deposit"/>
    <s v="Deposit"/>
    <x v="0"/>
    <s v="mobile app"/>
    <n v="58136.49"/>
    <n v="0"/>
    <x v="0"/>
    <s v="Completed"/>
    <s v="Ahmed"/>
  </r>
  <r>
    <x v="249"/>
    <x v="20"/>
    <d v="2026-05-07T00:00:00"/>
    <x v="4"/>
    <s v="Karachi Main"/>
    <s v="Karachi"/>
    <s v="Karachi"/>
    <x v="2"/>
    <s v="SME"/>
    <s v="Salary"/>
    <s v="salary"/>
    <s v="Transfer"/>
    <s v="Transfer"/>
    <x v="3"/>
    <s v="Internet Banking"/>
    <n v="133739.98000000001"/>
    <n v="66.77"/>
    <x v="0"/>
    <s v="Completed"/>
    <s v="Farhan"/>
  </r>
  <r>
    <x v="250"/>
    <x v="8"/>
    <d v="2025-08-09T00:00:00"/>
    <x v="0"/>
    <s v="Sukher"/>
    <s v="Sukher"/>
    <s v="Sukher"/>
    <x v="1"/>
    <s v="Premium"/>
    <s v="Savings"/>
    <s v="Savings"/>
    <s v="Deposit"/>
    <s v="Deposit"/>
    <x v="2"/>
    <s v="Branch"/>
    <n v="10679.44"/>
    <n v="0"/>
    <x v="0"/>
    <s v="Completed"/>
    <s v="Ahmed"/>
  </r>
  <r>
    <x v="251"/>
    <x v="14"/>
    <d v="2025-09-15T00:00:00"/>
    <x v="2"/>
    <s v="Hyderabad"/>
    <s v="Hyderabad"/>
    <s v="Hyderabad"/>
    <x v="0"/>
    <s v="retail"/>
    <s v="Current"/>
    <s v="Current"/>
    <s v="Bill Payment"/>
    <s v="Bill Payment"/>
    <x v="1"/>
    <s v="ATM"/>
    <n v="20699.919999999998"/>
    <n v="40.99"/>
    <x v="0"/>
    <s v="Completed"/>
    <s v="Iqra"/>
  </r>
  <r>
    <x v="252"/>
    <x v="22"/>
    <d v="2026-12-20T00:00:00"/>
    <x v="2"/>
    <s v="Hyderabad"/>
    <s v="Hyderabad"/>
    <s v="Hyderabad"/>
    <x v="2"/>
    <s v="SME"/>
    <s v="Salary"/>
    <s v="salary"/>
    <s v="Withdrawal"/>
    <s v="Withdrawal"/>
    <x v="1"/>
    <s v="ATM"/>
    <n v="47012.95"/>
    <n v="0"/>
    <x v="0"/>
    <s v="Completed"/>
    <s v="Farhan"/>
  </r>
  <r>
    <x v="253"/>
    <x v="12"/>
    <d v="2025-04-17T00:00:00"/>
    <x v="3"/>
    <s v="Nawabshah"/>
    <s v="Shaheed Benazirabad"/>
    <s v="Shaheed Benazirabad"/>
    <x v="2"/>
    <s v="SME"/>
    <s v="Savings"/>
    <s v="Savings"/>
    <s v="Transfer"/>
    <s v="Transfer"/>
    <x v="0"/>
    <s v="mobile app"/>
    <n v="110984.05"/>
    <n v="145.56"/>
    <x v="0"/>
    <s v="Completed"/>
    <s v="Sana"/>
  </r>
  <r>
    <x v="254"/>
    <x v="7"/>
    <d v="2025-06-27T00:00:00"/>
    <x v="4"/>
    <s v="Karachi Main"/>
    <s v="Karachi"/>
    <s v="Karachi"/>
    <x v="2"/>
    <s v="SME"/>
    <s v="Current"/>
    <s v="Current"/>
    <s v="Bill Payment"/>
    <s v="Bill Payment"/>
    <x v="0"/>
    <s v="mobile app"/>
    <n v="30084.57"/>
    <n v="60.28"/>
    <x v="0"/>
    <s v="Completed"/>
    <s v="Maham"/>
  </r>
  <r>
    <x v="255"/>
    <x v="22"/>
    <d v="2026-12-09T00:00:00"/>
    <x v="1"/>
    <s v="Larkana"/>
    <s v="Larkana"/>
    <s v="Larkana"/>
    <x v="1"/>
    <s v="Premium"/>
    <s v="Savings"/>
    <s v="Savings"/>
    <s v="Withdrawal"/>
    <s v="Withdrawal"/>
    <x v="2"/>
    <s v="Branch"/>
    <n v="18863.39"/>
    <n v="0"/>
    <x v="0"/>
    <s v="Completed"/>
    <s v="Sana"/>
  </r>
  <r>
    <x v="256"/>
    <x v="12"/>
    <d v="2025-04-05T00:00:00"/>
    <x v="0"/>
    <s v="Sukher"/>
    <s v="Sukher"/>
    <s v="Sukher"/>
    <x v="0"/>
    <s v="retail"/>
    <s v="Savings"/>
    <s v="Savings"/>
    <s v="Bill Payment"/>
    <s v="Bill Payment"/>
    <x v="2"/>
    <s v="Branch"/>
    <n v="5487.69"/>
    <n v="42.82"/>
    <x v="0"/>
    <s v="Completed"/>
    <s v="Maham"/>
  </r>
  <r>
    <x v="257"/>
    <x v="12"/>
    <d v="2025-04-20T00:00:00"/>
    <x v="1"/>
    <s v="Larkana"/>
    <s v="Larkana"/>
    <s v="Larkana"/>
    <x v="2"/>
    <s v="SME"/>
    <s v="Savings"/>
    <s v="Savings"/>
    <s v="Deposit"/>
    <s v="Deposit"/>
    <x v="1"/>
    <s v="ATM"/>
    <n v="72057.08"/>
    <n v="0"/>
    <x v="0"/>
    <s v="Completed"/>
    <s v="Maham"/>
  </r>
  <r>
    <x v="258"/>
    <x v="19"/>
    <d v="2026-11-07T00:00:00"/>
    <x v="1"/>
    <s v="Larkana"/>
    <s v="Larkana"/>
    <s v="Larkana"/>
    <x v="0"/>
    <s v="retail"/>
    <s v="Savings"/>
    <s v="Savings"/>
    <s v="Transfer"/>
    <s v="Transfer"/>
    <x v="1"/>
    <s v="ATM"/>
    <n v="32334.6"/>
    <n v="49.88"/>
    <x v="0"/>
    <s v="Completed"/>
    <s v="Ahmed"/>
  </r>
  <r>
    <x v="259"/>
    <x v="18"/>
    <d v="2025-12-25T00:00:00"/>
    <x v="2"/>
    <s v="Hyderabad"/>
    <s v="Hyderabad"/>
    <s v="Hyderabad"/>
    <x v="2"/>
    <s v="SME"/>
    <s v="Salary"/>
    <s v="salary"/>
    <s v="Transfer"/>
    <s v="Transfer"/>
    <x v="2"/>
    <s v="Branch"/>
    <n v="9397.08"/>
    <n v="176.77"/>
    <x v="0"/>
    <s v="Completed"/>
    <s v="Iqra"/>
  </r>
  <r>
    <x v="260"/>
    <x v="5"/>
    <d v="2025-01-02T00:00:00"/>
    <x v="0"/>
    <s v="Sukher"/>
    <s v="Sukher"/>
    <s v="Sukher"/>
    <x v="3"/>
    <s v="Corporate"/>
    <s v="Salary"/>
    <s v="salary"/>
    <s v="Transfer"/>
    <s v="Transfer"/>
    <x v="2"/>
    <s v="Branch"/>
    <n v="138677.28"/>
    <n v="74.22"/>
    <x v="0"/>
    <s v="Completed"/>
    <s v="Maham"/>
  </r>
  <r>
    <x v="261"/>
    <x v="13"/>
    <d v="2026-06-13T00:00:00"/>
    <x v="0"/>
    <s v="Sukher"/>
    <s v="Sukher"/>
    <s v="Sukher"/>
    <x v="1"/>
    <s v="Premium"/>
    <s v="Salary"/>
    <s v="salary"/>
    <s v="Deposit"/>
    <s v="Deposit"/>
    <x v="3"/>
    <s v="Internet Banking"/>
    <n v="96977.53"/>
    <n v="0"/>
    <x v="1"/>
    <s v="Pending"/>
    <s v="Iqra"/>
  </r>
  <r>
    <x v="262"/>
    <x v="4"/>
    <d v="2025-07-28T00:00:00"/>
    <x v="3"/>
    <s v="Nawabshah"/>
    <s v="Shaheed Benazirabad"/>
    <s v="Shaheed Benazirabad"/>
    <x v="0"/>
    <s v="retail"/>
    <s v="Savings"/>
    <s v="Savings"/>
    <s v="Bill Payment"/>
    <s v="Bill Payment"/>
    <x v="2"/>
    <s v="Branch"/>
    <n v="8864.48"/>
    <n v="76.040000000000006"/>
    <x v="0"/>
    <s v="Completed"/>
    <s v="Bilal"/>
  </r>
  <r>
    <x v="263"/>
    <x v="18"/>
    <d v="2025-12-22T00:00:00"/>
    <x v="1"/>
    <s v="Larkana"/>
    <s v="Larkana"/>
    <s v="Larkana"/>
    <x v="2"/>
    <s v="SME"/>
    <s v="Salary"/>
    <s v="salary"/>
    <s v="Deposit"/>
    <s v="Deposit"/>
    <x v="3"/>
    <s v="Internet Banking"/>
    <n v="18864.88"/>
    <n v="0"/>
    <x v="0"/>
    <s v="Completed"/>
    <s v="Bilal"/>
  </r>
  <r>
    <x v="264"/>
    <x v="15"/>
    <d v="2026-08-08T00:00:00"/>
    <x v="4"/>
    <s v="Karachi Main"/>
    <s v="Karachi"/>
    <s v="Karachi"/>
    <x v="0"/>
    <s v="retail"/>
    <s v="Salary"/>
    <s v="salary"/>
    <s v="Deposit"/>
    <s v="Deposit"/>
    <x v="3"/>
    <s v="Internet Banking"/>
    <n v="104247.28"/>
    <n v="0"/>
    <x v="1"/>
    <s v="Pending"/>
    <s v="Sana"/>
  </r>
  <r>
    <x v="265"/>
    <x v="7"/>
    <d v="2025-06-14T00:00:00"/>
    <x v="4"/>
    <s v="Karachi Main"/>
    <s v="Karachi"/>
    <s v="Karachi"/>
    <x v="2"/>
    <s v="SME"/>
    <s v="Current"/>
    <s v="Current"/>
    <s v="Deposit"/>
    <s v="Deposit"/>
    <x v="3"/>
    <s v="Internet Banking"/>
    <n v="14462.14"/>
    <n v="0"/>
    <x v="0"/>
    <s v="Completed"/>
    <s v="Sana"/>
  </r>
  <r>
    <x v="266"/>
    <x v="1"/>
    <d v="2025-05-15T00:00:00"/>
    <x v="4"/>
    <s v="Karachi Main"/>
    <s v="Karachi"/>
    <s v="Karachi"/>
    <x v="0"/>
    <s v="retail"/>
    <s v="Current"/>
    <s v="Current"/>
    <s v="Withdrawal"/>
    <s v="Withdrawal"/>
    <x v="3"/>
    <s v="Internet Banking"/>
    <n v="4111.22"/>
    <n v="0"/>
    <x v="1"/>
    <s v="Pending"/>
    <s v="Bilal"/>
  </r>
  <r>
    <x v="267"/>
    <x v="13"/>
    <d v="2026-06-06T00:00:00"/>
    <x v="0"/>
    <s v="Sukher"/>
    <s v="Sukher"/>
    <s v="Sukher"/>
    <x v="0"/>
    <s v="retail"/>
    <s v="Current"/>
    <s v="Current"/>
    <s v="Bill Payment"/>
    <s v="Bill Payment"/>
    <x v="3"/>
    <s v="Internet Banking"/>
    <n v="19508.169999999998"/>
    <n v="80.680000000000007"/>
    <x v="0"/>
    <s v="Completed"/>
    <s v="Iqra"/>
  </r>
  <r>
    <x v="268"/>
    <x v="16"/>
    <d v="2025-10-07T00:00:00"/>
    <x v="4"/>
    <s v="Karachi Main"/>
    <s v="Karachi"/>
    <s v="Karachi"/>
    <x v="0"/>
    <s v="retail"/>
    <s v="Salary"/>
    <s v="salary"/>
    <s v="Deposit"/>
    <s v="Deposit"/>
    <x v="2"/>
    <s v="Branch"/>
    <n v="64322.25"/>
    <n v="0"/>
    <x v="0"/>
    <s v="Completed"/>
    <s v="Iqra"/>
  </r>
  <r>
    <x v="269"/>
    <x v="2"/>
    <d v="2025-02-06T00:00:00"/>
    <x v="0"/>
    <s v="Sukher"/>
    <s v="Sukher"/>
    <s v="Sukher"/>
    <x v="1"/>
    <s v="Premium"/>
    <s v="Salary"/>
    <s v="salary"/>
    <s v="Transfer"/>
    <s v="Transfer"/>
    <x v="1"/>
    <s v="ATM"/>
    <n v="148251.60999999999"/>
    <n v="165.41"/>
    <x v="0"/>
    <s v="Completed"/>
    <s v="Ahmed"/>
  </r>
  <r>
    <x v="270"/>
    <x v="11"/>
    <d v="2026-02-07T00:00:00"/>
    <x v="0"/>
    <s v="Sukher"/>
    <s v="Sukher"/>
    <s v="Sukher"/>
    <x v="1"/>
    <s v="Premium"/>
    <s v="Salary"/>
    <s v="salary"/>
    <s v="Deposit"/>
    <s v="Deposit"/>
    <x v="1"/>
    <s v="ATM"/>
    <n v="14639.8"/>
    <n v="0"/>
    <x v="0"/>
    <s v="Completed"/>
    <s v="Bilal"/>
  </r>
  <r>
    <x v="271"/>
    <x v="4"/>
    <d v="2025-07-22T00:00:00"/>
    <x v="0"/>
    <s v="Sukher"/>
    <s v="Sukher"/>
    <s v="Sukher"/>
    <x v="2"/>
    <s v="SME"/>
    <s v="Salary"/>
    <s v="salary"/>
    <s v="Withdrawal"/>
    <s v="Withdrawal"/>
    <x v="0"/>
    <s v="mobile app"/>
    <n v="54590.559999999998"/>
    <n v="0"/>
    <x v="0"/>
    <s v="Completed"/>
    <s v="Bilal"/>
  </r>
  <r>
    <x v="272"/>
    <x v="8"/>
    <d v="2025-08-04T00:00:00"/>
    <x v="0"/>
    <s v="Sukher"/>
    <s v="Sukher"/>
    <s v="Sukher"/>
    <x v="1"/>
    <s v="Premium"/>
    <s v="Current"/>
    <s v="Current"/>
    <s v="Withdrawal"/>
    <s v="Withdrawal"/>
    <x v="3"/>
    <s v="Internet Banking"/>
    <n v="3357.29"/>
    <n v="0"/>
    <x v="0"/>
    <s v="Completed"/>
    <s v="Maham"/>
  </r>
  <r>
    <x v="273"/>
    <x v="6"/>
    <d v="2026-07-20T00:00:00"/>
    <x v="1"/>
    <s v="Larkana"/>
    <s v="Larkana"/>
    <s v="Larkana"/>
    <x v="3"/>
    <s v="Corporate"/>
    <s v="Savings"/>
    <s v="Savings"/>
    <s v="Deposit"/>
    <s v="Deposit"/>
    <x v="1"/>
    <s v="ATM"/>
    <n v="34059.760000000002"/>
    <n v="0"/>
    <x v="0"/>
    <s v="Completed"/>
    <s v="Maham"/>
  </r>
  <r>
    <x v="274"/>
    <x v="17"/>
    <d v="2025-11-07T00:00:00"/>
    <x v="1"/>
    <s v="Larkana"/>
    <s v="Larkana"/>
    <s v="Larkana"/>
    <x v="1"/>
    <s v="Premium"/>
    <s v="Salary"/>
    <s v="salary"/>
    <s v="Transfer"/>
    <s v="Transfer"/>
    <x v="0"/>
    <s v="mobile app"/>
    <n v="155021.59"/>
    <n v="88.56"/>
    <x v="0"/>
    <s v="Completed"/>
    <s v="Sana"/>
  </r>
  <r>
    <x v="275"/>
    <x v="4"/>
    <d v="2025-07-26T00:00:00"/>
    <x v="2"/>
    <s v="Hyderabad"/>
    <s v="Hyderabad"/>
    <s v="Hyderabad"/>
    <x v="1"/>
    <s v="Premium"/>
    <s v="Current"/>
    <s v="Current"/>
    <s v="Transfer"/>
    <s v="Transfer"/>
    <x v="0"/>
    <s v="mobile app"/>
    <n v="175378.21"/>
    <n v="101.47"/>
    <x v="0"/>
    <s v="Completed"/>
    <s v="Iqra"/>
  </r>
  <r>
    <x v="276"/>
    <x v="3"/>
    <d v="2026-01-04T00:00:00"/>
    <x v="4"/>
    <s v="Karachi Main"/>
    <s v="Karachi"/>
    <s v="Karachi"/>
    <x v="3"/>
    <s v="Corporate"/>
    <s v="Current"/>
    <s v="Current"/>
    <s v="Transfer"/>
    <s v="Transfer"/>
    <x v="2"/>
    <s v="Branch"/>
    <n v="115717.36"/>
    <n v="40.33"/>
    <x v="0"/>
    <s v="Completed"/>
    <s v="Iqra"/>
  </r>
  <r>
    <x v="277"/>
    <x v="10"/>
    <d v="2025-03-08T00:00:00"/>
    <x v="3"/>
    <s v="Nawabshah"/>
    <s v="Shaheed Benazirabad"/>
    <s v="Shaheed Benazirabad"/>
    <x v="2"/>
    <s v="SME"/>
    <s v="Current"/>
    <s v="Current"/>
    <s v="Withdrawal"/>
    <s v="Withdrawal"/>
    <x v="1"/>
    <s v="ATM"/>
    <n v="15029.41"/>
    <n v="0"/>
    <x v="0"/>
    <s v="Completed"/>
    <s v="Maham"/>
  </r>
  <r>
    <x v="278"/>
    <x v="14"/>
    <d v="2025-09-01T00:00:00"/>
    <x v="0"/>
    <s v="Sukher"/>
    <s v="Sukher"/>
    <s v="Sukher"/>
    <x v="2"/>
    <s v="SME"/>
    <s v="Savings"/>
    <s v="Savings"/>
    <s v="Transfer"/>
    <s v="Transfer"/>
    <x v="3"/>
    <s v="Internet Banking"/>
    <n v="174794.69"/>
    <n v="184.31"/>
    <x v="0"/>
    <s v="Completed"/>
    <s v="Sana"/>
  </r>
  <r>
    <x v="279"/>
    <x v="0"/>
    <d v="2026-10-17T00:00:00"/>
    <x v="1"/>
    <s v="Larkana"/>
    <s v="Larkana"/>
    <s v="Larkana"/>
    <x v="2"/>
    <s v="SME"/>
    <s v="Current"/>
    <s v="Current"/>
    <s v="Withdrawal"/>
    <s v="Withdrawal"/>
    <x v="3"/>
    <s v="Internet Banking"/>
    <n v="25585.52"/>
    <n v="0"/>
    <x v="0"/>
    <s v="Completed"/>
    <s v="Maham"/>
  </r>
  <r>
    <x v="280"/>
    <x v="7"/>
    <d v="2025-06-10T00:00:00"/>
    <x v="2"/>
    <s v="Hyderabad"/>
    <s v="Hyderabad"/>
    <s v="Hyderabad"/>
    <x v="3"/>
    <s v="Corporate"/>
    <s v="Salary"/>
    <s v="salary"/>
    <s v="Bill Payment"/>
    <s v="Bill Payment"/>
    <x v="3"/>
    <s v="Internet Banking"/>
    <n v="8423.94"/>
    <n v="89.45"/>
    <x v="0"/>
    <s v="Completed"/>
    <s v="Maham"/>
  </r>
  <r>
    <x v="281"/>
    <x v="16"/>
    <d v="2025-10-09T00:00:00"/>
    <x v="1"/>
    <s v="Larkana"/>
    <s v="Larkana"/>
    <s v="Larkana"/>
    <x v="0"/>
    <s v="retail"/>
    <s v="Current"/>
    <s v="Current"/>
    <s v="Withdrawal"/>
    <s v="Withdrawal"/>
    <x v="1"/>
    <s v="ATM"/>
    <n v="26202.01"/>
    <n v="0"/>
    <x v="0"/>
    <s v="Completed"/>
    <s v="Maham"/>
  </r>
  <r>
    <x v="282"/>
    <x v="20"/>
    <d v="2026-05-20T00:00:00"/>
    <x v="4"/>
    <s v="Karachi Main"/>
    <s v="Karachi"/>
    <s v="Karachi"/>
    <x v="3"/>
    <s v="Corporate"/>
    <s v="Savings"/>
    <s v="Savings"/>
    <s v="Bill Payment"/>
    <s v="Bill Payment"/>
    <x v="0"/>
    <s v="mobile app"/>
    <n v="25158.799999999999"/>
    <n v="84.62"/>
    <x v="0"/>
    <s v="Completed"/>
    <s v="Bilal"/>
  </r>
  <r>
    <x v="283"/>
    <x v="14"/>
    <d v="2025-09-16T00:00:00"/>
    <x v="4"/>
    <s v="Karachi Main"/>
    <s v="Karachi"/>
    <s v="Karachi"/>
    <x v="0"/>
    <s v="retail"/>
    <s v="Salary"/>
    <s v="salary"/>
    <s v="Transfer"/>
    <s v="Transfer"/>
    <x v="1"/>
    <s v="ATM"/>
    <n v="138047.12"/>
    <n v="75.73"/>
    <x v="0"/>
    <s v="Completed"/>
    <s v="Maham"/>
  </r>
  <r>
    <x v="284"/>
    <x v="1"/>
    <d v="2025-05-01T00:00:00"/>
    <x v="3"/>
    <s v="Nawabshah"/>
    <s v="Shaheed Benazirabad"/>
    <s v="Shaheed Benazirabad"/>
    <x v="2"/>
    <s v="SME"/>
    <s v="Salary"/>
    <s v="salary"/>
    <s v="Transfer"/>
    <s v="Transfer"/>
    <x v="0"/>
    <s v="mobile app"/>
    <n v="5911.09"/>
    <n v="41.47"/>
    <x v="0"/>
    <s v="Completed"/>
    <s v="Maham"/>
  </r>
  <r>
    <x v="285"/>
    <x v="19"/>
    <d v="2026-11-10T00:00:00"/>
    <x v="3"/>
    <s v="Nawabshah"/>
    <s v="Shaheed Benazirabad"/>
    <s v="Shaheed Benazirabad"/>
    <x v="2"/>
    <s v="SME"/>
    <s v="Savings"/>
    <s v="Savings"/>
    <s v="Bill Payment"/>
    <s v="Bill Payment"/>
    <x v="3"/>
    <s v="Internet Banking"/>
    <n v="23625.51"/>
    <n v="74.13"/>
    <x v="0"/>
    <s v="Completed"/>
    <s v="Maham"/>
  </r>
  <r>
    <x v="286"/>
    <x v="7"/>
    <d v="2025-06-03T00:00:00"/>
    <x v="4"/>
    <s v="Karachi Main"/>
    <s v="Karachi"/>
    <s v="Karachi"/>
    <x v="2"/>
    <s v="SME"/>
    <s v="Current"/>
    <s v="Current"/>
    <s v="Withdrawal"/>
    <s v="Withdrawal"/>
    <x v="3"/>
    <s v="Internet Banking"/>
    <n v="21786.84"/>
    <n v="0"/>
    <x v="0"/>
    <s v="Completed"/>
    <s v="Farhan"/>
  </r>
  <r>
    <x v="287"/>
    <x v="7"/>
    <d v="2025-06-15T00:00:00"/>
    <x v="0"/>
    <s v="Sukher"/>
    <s v="Shaheed Benazirabad"/>
    <s v="Shaheed Benazirabad"/>
    <x v="2"/>
    <s v="SME"/>
    <s v="Salary"/>
    <s v="salary"/>
    <s v="Withdrawal"/>
    <s v="Withdrawal"/>
    <x v="2"/>
    <s v="Branch"/>
    <n v="52746.09"/>
    <n v="0"/>
    <x v="0"/>
    <s v="Completed"/>
    <s v="Bilal"/>
  </r>
  <r>
    <x v="288"/>
    <x v="21"/>
    <d v="2026-09-19T00:00:00"/>
    <x v="0"/>
    <s v="Sukher"/>
    <s v="Sukher"/>
    <s v="Sukher"/>
    <x v="0"/>
    <s v="retail"/>
    <s v="Savings"/>
    <s v="Savings"/>
    <s v="Deposit"/>
    <s v="Deposit"/>
    <x v="3"/>
    <s v="Internet Banking"/>
    <n v="91683.09"/>
    <n v="0"/>
    <x v="0"/>
    <s v="Completed"/>
    <s v="Bilal"/>
  </r>
  <r>
    <x v="289"/>
    <x v="4"/>
    <d v="2025-07-02T00:00:00"/>
    <x v="4"/>
    <s v="Karachi Main"/>
    <s v="Karachi"/>
    <s v="Karachi"/>
    <x v="0"/>
    <s v="retail"/>
    <s v="Current"/>
    <s v="Current"/>
    <s v="Withdrawal"/>
    <s v="Withdrawal"/>
    <x v="1"/>
    <s v="ATM"/>
    <n v="3209.79"/>
    <n v="0"/>
    <x v="0"/>
    <s v="Completed"/>
    <s v="Sana"/>
  </r>
  <r>
    <x v="290"/>
    <x v="8"/>
    <d v="2025-08-24T00:00:00"/>
    <x v="0"/>
    <s v="Sukher"/>
    <s v="Sukher"/>
    <s v="Sukher"/>
    <x v="3"/>
    <s v="Corporate"/>
    <s v="Salary"/>
    <s v="salary"/>
    <s v="Withdrawal"/>
    <s v="Withdrawal"/>
    <x v="1"/>
    <s v="ATM"/>
    <n v="11322.53"/>
    <n v="0"/>
    <x v="0"/>
    <s v="Completed"/>
    <s v="Iqra"/>
  </r>
  <r>
    <x v="291"/>
    <x v="22"/>
    <d v="2026-12-07T00:00:00"/>
    <x v="1"/>
    <s v="Larkana"/>
    <s v="Larkana"/>
    <s v="Larkana"/>
    <x v="0"/>
    <s v="retail"/>
    <s v="Current"/>
    <s v="Current"/>
    <s v="Withdrawal"/>
    <s v="Withdrawal"/>
    <x v="0"/>
    <s v="mobile app"/>
    <n v="51128.35"/>
    <n v="0"/>
    <x v="1"/>
    <s v="Pending"/>
    <s v="Maham"/>
  </r>
  <r>
    <x v="292"/>
    <x v="5"/>
    <d v="2025-01-05T00:00:00"/>
    <x v="1"/>
    <s v="Larkana"/>
    <s v="Larkana"/>
    <s v="Larkana"/>
    <x v="0"/>
    <s v="retail"/>
    <s v="Current"/>
    <s v="Current"/>
    <s v="Bill Payment"/>
    <s v="Bill Payment"/>
    <x v="2"/>
    <s v="Branch"/>
    <n v="7672.95"/>
    <n v="56.27"/>
    <x v="0"/>
    <s v="Completed"/>
    <s v="Maham"/>
  </r>
  <r>
    <x v="293"/>
    <x v="14"/>
    <d v="2025-09-11T00:00:00"/>
    <x v="3"/>
    <s v="Nawabshah"/>
    <s v="Shaheed Benazirabad"/>
    <s v="Shaheed Benazirabad"/>
    <x v="1"/>
    <s v="Premium"/>
    <s v="Current"/>
    <s v="Current"/>
    <s v="Deposit"/>
    <s v="Deposit"/>
    <x v="1"/>
    <s v="ATM"/>
    <n v="28825.06"/>
    <n v="0"/>
    <x v="0"/>
    <s v="Completed"/>
    <s v="Bilal"/>
  </r>
  <r>
    <x v="294"/>
    <x v="23"/>
    <d v="2026-04-21T00:00:00"/>
    <x v="1"/>
    <s v="Larkana"/>
    <s v="Larkana"/>
    <s v="Larkana"/>
    <x v="3"/>
    <s v="Corporate"/>
    <s v="Salary"/>
    <s v="salary"/>
    <s v="Withdrawal"/>
    <s v="Withdrawal"/>
    <x v="1"/>
    <s v="ATM"/>
    <n v="24246.71"/>
    <n v="0"/>
    <x v="0"/>
    <s v="Completed"/>
    <s v="Iqra"/>
  </r>
  <r>
    <x v="295"/>
    <x v="1"/>
    <d v="2025-05-27T00:00:00"/>
    <x v="4"/>
    <s v="Karachi Main"/>
    <s v="Karachi"/>
    <s v="Karachi"/>
    <x v="2"/>
    <s v="SME"/>
    <s v="Current"/>
    <s v="Current"/>
    <s v="Bill Payment"/>
    <s v="Bill Payment"/>
    <x v="3"/>
    <s v="Internet Banking"/>
    <n v="20714.400000000001"/>
    <n v="68.569999999999993"/>
    <x v="0"/>
    <s v="Completed"/>
    <s v="Maham"/>
  </r>
  <r>
    <x v="296"/>
    <x v="16"/>
    <d v="2025-10-02T00:00:00"/>
    <x v="2"/>
    <s v="Hyderabad"/>
    <s v="Hyderabad"/>
    <s v="Hyderabad"/>
    <x v="0"/>
    <s v="retail"/>
    <s v="Savings"/>
    <s v="Savings"/>
    <s v="Deposit"/>
    <s v="Deposit"/>
    <x v="3"/>
    <s v="Internet Banking"/>
    <n v="91993.48"/>
    <n v="0"/>
    <x v="0"/>
    <s v="Completed"/>
    <s v="Bilal"/>
  </r>
  <r>
    <x v="297"/>
    <x v="9"/>
    <d v="2026-03-11T00:00:00"/>
    <x v="4"/>
    <s v="Karachi Main"/>
    <s v="Karachi"/>
    <s v="Karachi"/>
    <x v="1"/>
    <s v="Premium"/>
    <s v="Salary"/>
    <s v="salary"/>
    <s v="Bill Payment"/>
    <s v="Bill Payment"/>
    <x v="3"/>
    <s v="Internet Banking"/>
    <n v="28582.77"/>
    <n v="19.940000000000001"/>
    <x v="0"/>
    <s v="Completed"/>
    <s v="Maham"/>
  </r>
  <r>
    <x v="298"/>
    <x v="10"/>
    <d v="2025-03-22T00:00:00"/>
    <x v="1"/>
    <s v="Larkana"/>
    <s v="Larkana"/>
    <s v="Larkana"/>
    <x v="1"/>
    <s v="Premium"/>
    <s v="Savings"/>
    <s v="Savings"/>
    <s v="Deposit"/>
    <s v="Deposit"/>
    <x v="3"/>
    <s v="Internet Banking"/>
    <n v="85149.01"/>
    <n v="0"/>
    <x v="0"/>
    <s v="Completed"/>
    <s v="Maham"/>
  </r>
  <r>
    <x v="299"/>
    <x v="16"/>
    <d v="2025-10-23T00:00:00"/>
    <x v="4"/>
    <s v="Karachi Main"/>
    <s v="Karachi"/>
    <s v="Karachi"/>
    <x v="3"/>
    <s v="Corporate"/>
    <s v="Savings"/>
    <s v="Savings"/>
    <s v="Withdrawal"/>
    <s v="Withdrawal"/>
    <x v="0"/>
    <s v="mobile app"/>
    <n v="14638.22"/>
    <n v="0"/>
    <x v="0"/>
    <s v="Completed"/>
    <s v="Iqra"/>
  </r>
  <r>
    <x v="300"/>
    <x v="3"/>
    <d v="2026-01-06T00:00:00"/>
    <x v="2"/>
    <s v="Hyderabad"/>
    <s v="Hyderabad"/>
    <s v="Hyderabad"/>
    <x v="3"/>
    <s v="Corporate"/>
    <s v="Salary"/>
    <s v="salary"/>
    <s v="Transfer"/>
    <s v="Transfer"/>
    <x v="2"/>
    <s v="Branch"/>
    <n v="168757.97"/>
    <n v="43.14"/>
    <x v="0"/>
    <s v="Completed"/>
    <s v="Ahmed"/>
  </r>
  <r>
    <x v="301"/>
    <x v="12"/>
    <d v="2025-04-07T00:00:00"/>
    <x v="2"/>
    <s v="Hyderabad"/>
    <s v="Hyderabad"/>
    <s v="Hyderabad"/>
    <x v="0"/>
    <s v="retail"/>
    <s v="Current"/>
    <s v="Current"/>
    <s v="Bill Payment"/>
    <s v="Bill Payment"/>
    <x v="2"/>
    <s v="Branch"/>
    <n v="29951.8"/>
    <n v="93.29"/>
    <x v="0"/>
    <s v="Completed"/>
    <s v="Farhan"/>
  </r>
  <r>
    <x v="302"/>
    <x v="14"/>
    <d v="2025-09-08T00:00:00"/>
    <x v="2"/>
    <s v="Hyderabad"/>
    <s v="Hyderabad"/>
    <s v="Hyderabad"/>
    <x v="2"/>
    <s v="SME"/>
    <s v="Salary"/>
    <s v="salary"/>
    <s v="Withdrawal"/>
    <s v="Withdrawal"/>
    <x v="2"/>
    <s v="Branch"/>
    <n v="72413.42"/>
    <n v="0"/>
    <x v="1"/>
    <s v="Pending"/>
    <s v="Maham"/>
  </r>
  <r>
    <x v="303"/>
    <x v="13"/>
    <d v="2026-06-28T00:00:00"/>
    <x v="3"/>
    <s v="Nawabshah"/>
    <s v="Shaheed Benazirabad"/>
    <s v="Shaheed Benazirabad"/>
    <x v="1"/>
    <s v="Premium"/>
    <s v="Savings"/>
    <s v="Savings"/>
    <s v="Bill Payment"/>
    <s v="Bill Payment"/>
    <x v="2"/>
    <s v="Branch"/>
    <n v="9186.34"/>
    <n v="65.53"/>
    <x v="0"/>
    <s v="Completed"/>
    <s v="Farhan"/>
  </r>
  <r>
    <x v="304"/>
    <x v="14"/>
    <d v="2025-09-17T00:00:00"/>
    <x v="4"/>
    <s v="Karachi Main"/>
    <s v="Karachi"/>
    <s v="Karachi"/>
    <x v="1"/>
    <s v="Premium"/>
    <s v="Savings"/>
    <s v="Savings"/>
    <s v="Withdrawal"/>
    <s v="Withdrawal"/>
    <x v="1"/>
    <s v="ATM"/>
    <n v="21159.59"/>
    <n v="0"/>
    <x v="0"/>
    <s v="Completed"/>
    <s v="Iqra"/>
  </r>
  <r>
    <x v="305"/>
    <x v="1"/>
    <d v="2025-05-16T00:00:00"/>
    <x v="4"/>
    <s v="Karachi Main"/>
    <s v="Karachi"/>
    <s v="Karachi"/>
    <x v="1"/>
    <s v="Premium"/>
    <s v="Current"/>
    <s v="Current"/>
    <s v="Withdrawal"/>
    <s v="Withdrawal"/>
    <x v="0"/>
    <s v="mobile app"/>
    <n v="14225.53"/>
    <n v="0"/>
    <x v="0"/>
    <s v="Completed"/>
    <s v="Ahmed"/>
  </r>
  <r>
    <x v="306"/>
    <x v="3"/>
    <d v="2026-01-01T00:00:00"/>
    <x v="2"/>
    <s v="Hyderabad"/>
    <s v="Hyderabad"/>
    <s v="Hyderabad"/>
    <x v="0"/>
    <s v="retail"/>
    <s v="Savings"/>
    <s v="Savings"/>
    <s v="Transfer"/>
    <s v="Transfer"/>
    <x v="1"/>
    <s v="ATM"/>
    <n v="76751"/>
    <n v="89.2"/>
    <x v="1"/>
    <s v="Pending"/>
    <s v="Sana"/>
  </r>
  <r>
    <x v="307"/>
    <x v="14"/>
    <d v="2025-09-24T00:00:00"/>
    <x v="2"/>
    <s v="Hyderabad"/>
    <s v="Hyderabad"/>
    <s v="Hyderabad"/>
    <x v="0"/>
    <s v="retail"/>
    <s v="Savings"/>
    <s v="Savings"/>
    <s v="Transfer"/>
    <s v="Transfer"/>
    <x v="1"/>
    <s v="ATM"/>
    <n v="5543.83"/>
    <n v="123.35"/>
    <x v="1"/>
    <s v="Pending"/>
    <s v="Bilal"/>
  </r>
  <r>
    <x v="308"/>
    <x v="16"/>
    <d v="2025-10-24T00:00:00"/>
    <x v="2"/>
    <s v="Hyderabad"/>
    <s v="Hyderabad"/>
    <s v="Hyderabad"/>
    <x v="0"/>
    <s v="retail"/>
    <s v="Salary"/>
    <s v="salary"/>
    <s v="Withdrawal"/>
    <s v="Withdrawal"/>
    <x v="0"/>
    <s v="mobile app"/>
    <n v="42615.51"/>
    <n v="0"/>
    <x v="0"/>
    <s v="Completed"/>
    <s v="Iqra"/>
  </r>
  <r>
    <x v="309"/>
    <x v="20"/>
    <d v="2026-05-14T00:00:00"/>
    <x v="0"/>
    <s v="Sukher"/>
    <s v="Sukher"/>
    <s v="Sukher"/>
    <x v="2"/>
    <s v="SME"/>
    <s v="Current"/>
    <s v="Current"/>
    <s v="Deposit"/>
    <s v="Deposit"/>
    <x v="0"/>
    <s v="mobile app"/>
    <n v="99748.23"/>
    <n v="0"/>
    <x v="0"/>
    <s v="Completed"/>
    <s v="Sana"/>
  </r>
  <r>
    <x v="310"/>
    <x v="7"/>
    <d v="2025-06-18T00:00:00"/>
    <x v="0"/>
    <s v="Sukher"/>
    <s v="Sukher"/>
    <s v="Sukher"/>
    <x v="0"/>
    <s v="retail"/>
    <s v="Salary"/>
    <s v="salary"/>
    <s v="Transfer"/>
    <s v="Transfer"/>
    <x v="2"/>
    <s v="Branch"/>
    <n v="93723.35"/>
    <n v="171.19"/>
    <x v="0"/>
    <s v="Completed"/>
    <s v="Bilal"/>
  </r>
  <r>
    <x v="311"/>
    <x v="1"/>
    <d v="2025-05-03T00:00:00"/>
    <x v="1"/>
    <s v="Larkana"/>
    <s v="Larkana"/>
    <s v="Larkana"/>
    <x v="3"/>
    <s v="Corporate"/>
    <s v="Salary"/>
    <s v="salary"/>
    <s v="Withdrawal"/>
    <s v="Withdrawal"/>
    <x v="1"/>
    <s v="ATM"/>
    <n v="13395.41"/>
    <n v="0"/>
    <x v="0"/>
    <s v="Completed"/>
    <s v="Bilal"/>
  </r>
  <r>
    <x v="312"/>
    <x v="3"/>
    <d v="2026-01-10T00:00:00"/>
    <x v="3"/>
    <s v="Nawabshah"/>
    <s v="Shaheed Benazirabad"/>
    <s v="Shaheed Benazirabad"/>
    <x v="0"/>
    <s v="retail"/>
    <s v="Salary"/>
    <s v="salary"/>
    <s v="Withdrawal"/>
    <s v="Withdrawal"/>
    <x v="1"/>
    <s v="ATM"/>
    <n v="34857.96"/>
    <n v="0"/>
    <x v="0"/>
    <s v="Completed"/>
    <s v="Ahmed"/>
  </r>
  <r>
    <x v="313"/>
    <x v="8"/>
    <d v="2025-08-13T00:00:00"/>
    <x v="4"/>
    <s v="Karachi Main"/>
    <s v="Karachi"/>
    <s v="Karachi"/>
    <x v="1"/>
    <s v="Premium"/>
    <s v="Current"/>
    <s v="Current"/>
    <s v="Withdrawal"/>
    <s v="Withdrawal"/>
    <x v="3"/>
    <s v="Internet Banking"/>
    <n v="44964.480000000003"/>
    <n v="0"/>
    <x v="0"/>
    <s v="Completed"/>
    <s v="Iqra"/>
  </r>
  <r>
    <x v="314"/>
    <x v="7"/>
    <d v="2025-06-13T00:00:00"/>
    <x v="1"/>
    <s v="Larkana"/>
    <s v="Larkana"/>
    <s v="Larkana"/>
    <x v="1"/>
    <s v="Premium"/>
    <s v="Current"/>
    <s v="Current"/>
    <s v="Bill Payment"/>
    <s v="Bill Payment"/>
    <x v="3"/>
    <s v="Internet Banking"/>
    <n v="15362.97"/>
    <n v="11.87"/>
    <x v="0"/>
    <s v="Completed"/>
    <s v="Farhan"/>
  </r>
  <r>
    <x v="315"/>
    <x v="6"/>
    <d v="2026-07-21T00:00:00"/>
    <x v="1"/>
    <s v="Larkana"/>
    <s v="Larkana"/>
    <s v="Larkana"/>
    <x v="2"/>
    <s v="SME"/>
    <s v="Salary"/>
    <s v="salary"/>
    <s v="Withdrawal"/>
    <s v="Withdrawal"/>
    <x v="2"/>
    <s v="Branch"/>
    <n v="66024.52"/>
    <n v="0"/>
    <x v="0"/>
    <s v="Completed"/>
    <s v="Maham"/>
  </r>
  <r>
    <x v="316"/>
    <x v="10"/>
    <d v="2025-03-26T00:00:00"/>
    <x v="3"/>
    <s v="Nawabshah"/>
    <s v="Shaheed Benazirabad"/>
    <s v="Shaheed Benazirabad"/>
    <x v="3"/>
    <s v="Corporate"/>
    <s v="Salary"/>
    <s v="salary"/>
    <s v="Deposit"/>
    <s v="Deposit"/>
    <x v="0"/>
    <s v="mobile app"/>
    <n v="50021.7"/>
    <n v="0"/>
    <x v="0"/>
    <s v="Completed"/>
    <s v="Ahmed"/>
  </r>
  <r>
    <x v="317"/>
    <x v="2"/>
    <d v="2025-02-04T00:00:00"/>
    <x v="0"/>
    <s v="Sukher"/>
    <s v="Sukher"/>
    <s v="Sukher"/>
    <x v="2"/>
    <s v="SME"/>
    <s v="Salary"/>
    <s v="salary"/>
    <s v="Withdrawal"/>
    <s v="Withdrawal"/>
    <x v="2"/>
    <s v="Branch"/>
    <n v="2076.13"/>
    <n v="0"/>
    <x v="0"/>
    <s v="Completed"/>
    <s v="Farhan"/>
  </r>
  <r>
    <x v="318"/>
    <x v="21"/>
    <d v="2026-09-11T00:00:00"/>
    <x v="4"/>
    <s v="Karachi Main"/>
    <s v="Karachi"/>
    <s v="Karachi"/>
    <x v="1"/>
    <s v="Premium"/>
    <s v="Savings"/>
    <s v="Savings"/>
    <s v="Withdrawal"/>
    <s v="Withdrawal"/>
    <x v="1"/>
    <s v="ATM"/>
    <n v="10656.41"/>
    <n v="0"/>
    <x v="0"/>
    <s v="Completed"/>
    <s v="Maham"/>
  </r>
  <r>
    <x v="319"/>
    <x v="7"/>
    <d v="2025-06-18T00:00:00"/>
    <x v="0"/>
    <s v="Sukher"/>
    <s v="Sukher"/>
    <s v="Sukher"/>
    <x v="1"/>
    <s v="Premium"/>
    <s v="Savings"/>
    <s v="Savings"/>
    <s v="Bill Payment"/>
    <s v="Bill Payment"/>
    <x v="1"/>
    <s v="ATM"/>
    <n v="25781.84"/>
    <n v="38.61"/>
    <x v="0"/>
    <s v="Completed"/>
    <s v="Bil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28" firstHeaderRow="1" firstDataRow="1" firstDataCol="1"/>
  <pivotFields count="20">
    <pivotField showAll="0"/>
    <pivotField axis="axisRow" showAll="0">
      <items count="25">
        <item x="5"/>
        <item x="3"/>
        <item x="2"/>
        <item x="11"/>
        <item x="10"/>
        <item x="9"/>
        <item x="12"/>
        <item x="23"/>
        <item x="1"/>
        <item x="20"/>
        <item x="7"/>
        <item x="13"/>
        <item x="4"/>
        <item x="6"/>
        <item x="8"/>
        <item x="15"/>
        <item x="14"/>
        <item x="21"/>
        <item x="16"/>
        <item x="0"/>
        <item x="17"/>
        <item x="19"/>
        <item x="18"/>
        <item x="2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Amount" fld="15" baseField="0" baseItem="0"/>
  </dataFields>
  <formats count="3"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13">
      <pivotArea dataOnly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E12" firstHeaderRow="1" firstDataRow="1" firstDataCol="1"/>
  <pivotFields count="20">
    <pivotField showAll="0"/>
    <pivotField showAll="0"/>
    <pivotField numFmtId="164"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5" baseField="0" baseItem="0"/>
  </dataFields>
  <formats count="3"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10">
      <pivotArea dataOnly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9" firstHeaderRow="1" firstDataRow="1" firstDataCol="1"/>
  <pivotFields count="20">
    <pivotField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Status" fld="17" subtotal="count" baseField="0" baseItem="0"/>
  </dataFields>
  <formats count="4"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7" count="0"/>
        </references>
      </pivotArea>
    </format>
    <format dxfId="6">
      <pivotArea dataOnly="0" labelOnly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9:E14" firstHeaderRow="0" firstDataRow="1" firstDataCol="1"/>
  <pivotFields count="20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x="0"/>
        <item t="default"/>
      </items>
    </pivotField>
    <pivotField showAll="0"/>
    <pivotField numFmtId="4" showAll="0"/>
    <pivotField numFmtId="4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nnal" fld="13" subtotal="count" baseField="0" baseItem="0"/>
    <dataField name="Count of Transaction ID" fld="0" subtotal="count" baseField="0" baseItem="0"/>
  </dataFields>
  <formats count="2">
    <format dxfId="5">
      <pivotArea collapsedLevelsAreSubtotals="1" fieldPosition="0">
        <references count="1">
          <reference field="13" count="0"/>
        </references>
      </pivotArea>
    </format>
    <format dxfId="4">
      <pivotArea dataOnly="0" labelOnly="1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F12" firstHeaderRow="0" firstDataRow="1" firstDataCol="1"/>
  <pivotFields count="20"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Segment" fld="7" subtotal="count" baseField="0" baseItem="0"/>
    <dataField name="Sum of Amount" fld="15" baseField="0" baseItem="0"/>
  </dataFields>
  <formats count="2">
    <format dxfId="1">
      <pivotArea collapsedLevelsAreSubtotals="1" fieldPosition="0">
        <references count="1">
          <reference field="7" count="0"/>
        </references>
      </pivotArea>
    </format>
    <format dxfId="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awBankingTable" displayName="RawBankingTable" ref="A1:L335" totalsRowShown="0">
  <tableColumns count="12">
    <tableColumn id="1" name="Transaction ID"/>
    <tableColumn id="2" name="Transaction Date"/>
    <tableColumn id="3" name="Branch"/>
    <tableColumn id="4" name="City"/>
    <tableColumn id="5" name="Customer Segment"/>
    <tableColumn id="6" name="Account Type"/>
    <tableColumn id="7" name="Transaction Type"/>
    <tableColumn id="8" name="Channel"/>
    <tableColumn id="9" name="Amount"/>
    <tableColumn id="10" name="Fee"/>
    <tableColumn id="11" name="Status"/>
    <tableColumn id="12" name="Relationship 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BankingTable3" displayName="RawBankingTable3" ref="A1:T321" totalsRowShown="0" headerRowDxfId="43" dataDxfId="42">
  <tableColumns count="20">
    <tableColumn id="1" name="Transaction ID" dataDxfId="20"/>
    <tableColumn id="23" name="Month-Year" dataDxfId="18">
      <calculatedColumnFormula>TEXT(C:C,"mm-yy")</calculatedColumnFormula>
    </tableColumn>
    <tableColumn id="2" name="Transaction Date" dataDxfId="19"/>
    <tableColumn id="14" name="Branch" dataDxfId="37">
      <calculatedColumnFormula>PROPER(TRIM(E:E))</calculatedColumnFormula>
    </tableColumn>
    <tableColumn id="3" name="Branch2" dataDxfId="36"/>
    <tableColumn id="16" name="City" dataDxfId="35">
      <calculatedColumnFormula>PROPER(TRIM(G:G))</calculatedColumnFormula>
    </tableColumn>
    <tableColumn id="4" name="City2" dataDxfId="34"/>
    <tableColumn id="17" name="Customer Segment" dataDxfId="33">
      <calculatedColumnFormula>PROPER(TRIM(I:I))</calculatedColumnFormula>
    </tableColumn>
    <tableColumn id="5" name="Customer Segment2" dataDxfId="32"/>
    <tableColumn id="18" name="Account Type" dataDxfId="31">
      <calculatedColumnFormula>PROPER(TRIM(K:K))</calculatedColumnFormula>
    </tableColumn>
    <tableColumn id="6" name="Account Type2" dataDxfId="30"/>
    <tableColumn id="19" name="Transection Type" dataDxfId="29">
      <calculatedColumnFormula>PROPER(TRIM(M:M))</calculatedColumnFormula>
    </tableColumn>
    <tableColumn id="7" name="Transaction Type" dataDxfId="28"/>
    <tableColumn id="20" name="Channal" dataDxfId="27">
      <calculatedColumnFormula>PROPER(TRIM(O:O))</calculatedColumnFormula>
    </tableColumn>
    <tableColumn id="8" name="Channel" dataDxfId="26"/>
    <tableColumn id="9" name="Amount" dataDxfId="25"/>
    <tableColumn id="10" name="Fee" dataDxfId="24"/>
    <tableColumn id="21" name="Status" dataDxfId="23">
      <calculatedColumnFormula>PROPER(TRIM(S:S))</calculatedColumnFormula>
    </tableColumn>
    <tableColumn id="11" name="Status2" dataDxfId="22"/>
    <tableColumn id="12" name="Relationship Manager2" dataDxfId="2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4A5B"/>
  </sheetPr>
  <dimension ref="A2:H17"/>
  <sheetViews>
    <sheetView showGridLines="0" zoomScale="66" zoomScaleNormal="66" workbookViewId="0">
      <selection activeCell="M20" sqref="M20"/>
    </sheetView>
  </sheetViews>
  <sheetFormatPr defaultRowHeight="14"/>
  <cols>
    <col min="1" max="1" width="42.83203125" customWidth="1"/>
    <col min="2" max="2" width="30" customWidth="1"/>
    <col min="3" max="3" width="3" customWidth="1"/>
    <col min="4" max="8" width="18" customWidth="1"/>
  </cols>
  <sheetData>
    <row r="2" spans="1:8" ht="28" customHeight="1">
      <c r="A2" s="8" t="s">
        <v>0</v>
      </c>
      <c r="B2" s="9"/>
      <c r="C2" s="9"/>
      <c r="D2" s="9"/>
      <c r="E2" s="9"/>
      <c r="F2" s="9"/>
      <c r="G2" s="9"/>
      <c r="H2" s="9"/>
    </row>
    <row r="3" spans="1:8">
      <c r="A3" s="10" t="s">
        <v>1</v>
      </c>
      <c r="B3" s="9"/>
      <c r="C3" s="9"/>
      <c r="D3" s="9"/>
      <c r="E3" s="9"/>
      <c r="F3" s="9"/>
      <c r="G3" s="9"/>
      <c r="H3" s="9"/>
    </row>
    <row r="5" spans="1:8">
      <c r="A5" s="1" t="s">
        <v>2</v>
      </c>
      <c r="B5" s="1" t="s">
        <v>3</v>
      </c>
      <c r="D5" s="11" t="s">
        <v>4</v>
      </c>
      <c r="E5" s="11"/>
      <c r="F5" s="11"/>
      <c r="G5" s="11"/>
      <c r="H5" s="11"/>
    </row>
    <row r="6" spans="1:8" ht="22" customHeight="1">
      <c r="A6" s="6" t="s">
        <v>5</v>
      </c>
      <c r="B6" s="6" t="s">
        <v>406</v>
      </c>
      <c r="D6" s="27" t="s">
        <v>448</v>
      </c>
      <c r="E6" s="12"/>
      <c r="F6" s="12"/>
      <c r="G6" s="12"/>
      <c r="H6" s="13"/>
    </row>
    <row r="7" spans="1:8" ht="22" customHeight="1">
      <c r="A7" s="6" t="s">
        <v>7</v>
      </c>
      <c r="B7" s="6" t="s">
        <v>406</v>
      </c>
      <c r="D7" s="14"/>
      <c r="E7" s="15"/>
      <c r="F7" s="15"/>
      <c r="G7" s="15"/>
      <c r="H7" s="16"/>
    </row>
    <row r="8" spans="1:8" ht="22" customHeight="1">
      <c r="A8" s="6" t="s">
        <v>8</v>
      </c>
      <c r="B8" s="6" t="s">
        <v>406</v>
      </c>
      <c r="D8" s="14"/>
      <c r="E8" s="15"/>
      <c r="F8" s="15"/>
      <c r="G8" s="15"/>
      <c r="H8" s="16"/>
    </row>
    <row r="9" spans="1:8" ht="22" customHeight="1">
      <c r="A9" s="6" t="s">
        <v>9</v>
      </c>
      <c r="B9" s="6" t="s">
        <v>406</v>
      </c>
      <c r="D9" s="14"/>
      <c r="E9" s="15"/>
      <c r="F9" s="15"/>
      <c r="G9" s="15"/>
      <c r="H9" s="16"/>
    </row>
    <row r="10" spans="1:8" ht="22" customHeight="1">
      <c r="A10" s="6" t="s">
        <v>10</v>
      </c>
      <c r="B10" s="28" t="s">
        <v>406</v>
      </c>
      <c r="D10" s="14"/>
      <c r="E10" s="15"/>
      <c r="F10" s="15"/>
      <c r="G10" s="15"/>
      <c r="H10" s="16"/>
    </row>
    <row r="11" spans="1:8" ht="22" customHeight="1">
      <c r="A11" s="6" t="s">
        <v>11</v>
      </c>
      <c r="B11" s="6" t="s">
        <v>6</v>
      </c>
      <c r="D11" s="17"/>
      <c r="E11" s="18"/>
      <c r="F11" s="18"/>
      <c r="G11" s="18"/>
      <c r="H11" s="19"/>
    </row>
    <row r="13" spans="1:8">
      <c r="A13" s="20" t="s">
        <v>12</v>
      </c>
      <c r="B13" s="20"/>
      <c r="C13" s="20"/>
      <c r="D13" s="20"/>
      <c r="E13" s="20"/>
      <c r="F13" s="20"/>
      <c r="G13" s="20"/>
      <c r="H13" s="20"/>
    </row>
    <row r="14" spans="1:8" ht="28" customHeight="1">
      <c r="A14" s="7" t="s">
        <v>13</v>
      </c>
      <c r="B14" s="7" t="s">
        <v>14</v>
      </c>
      <c r="C14" s="7"/>
      <c r="D14" s="7" t="s">
        <v>15</v>
      </c>
      <c r="E14" s="7" t="s">
        <v>16</v>
      </c>
      <c r="F14" s="7"/>
      <c r="G14" s="7" t="s">
        <v>17</v>
      </c>
      <c r="H14" s="7" t="s">
        <v>18</v>
      </c>
    </row>
    <row r="15" spans="1:8" ht="28" customHeight="1">
      <c r="A15" s="7" t="s">
        <v>19</v>
      </c>
      <c r="B15" s="7" t="s">
        <v>20</v>
      </c>
      <c r="C15" s="7"/>
      <c r="D15" s="7" t="s">
        <v>3</v>
      </c>
      <c r="E15" s="7" t="s">
        <v>21</v>
      </c>
      <c r="F15" s="7"/>
      <c r="G15" s="7" t="s">
        <v>22</v>
      </c>
      <c r="H15" s="7" t="s">
        <v>23</v>
      </c>
    </row>
    <row r="16" spans="1:8" ht="28" customHeight="1">
      <c r="A16" s="7" t="s">
        <v>24</v>
      </c>
      <c r="B16" s="7" t="s">
        <v>25</v>
      </c>
      <c r="C16" s="7"/>
      <c r="D16" s="7"/>
      <c r="E16" s="7"/>
      <c r="F16" s="7"/>
      <c r="G16" s="7"/>
      <c r="H16" s="7"/>
    </row>
    <row r="17" spans="1:8" ht="46" customHeight="1">
      <c r="A17" s="7" t="s">
        <v>26</v>
      </c>
      <c r="B17" s="7" t="s">
        <v>27</v>
      </c>
      <c r="C17" s="7"/>
      <c r="D17" s="7"/>
      <c r="E17" s="7"/>
      <c r="F17" s="7"/>
      <c r="G17" s="7"/>
      <c r="H17" s="7"/>
    </row>
  </sheetData>
  <mergeCells count="5">
    <mergeCell ref="A2:H2"/>
    <mergeCell ref="A3:H3"/>
    <mergeCell ref="D5:H5"/>
    <mergeCell ref="D6:H1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C4CE"/>
  </sheetPr>
  <dimension ref="A1:L335"/>
  <sheetViews>
    <sheetView showGridLines="0" topLeftCell="E1" workbookViewId="0">
      <pane ySplit="1" topLeftCell="A316" activePane="bottomLeft" state="frozen"/>
      <selection pane="bottomLeft" sqref="A1:L335"/>
    </sheetView>
  </sheetViews>
  <sheetFormatPr defaultRowHeight="14"/>
  <cols>
    <col min="1" max="1" width="15" customWidth="1"/>
    <col min="2" max="2" width="13" customWidth="1"/>
    <col min="3" max="8" width="19" customWidth="1"/>
    <col min="9" max="10" width="14" customWidth="1"/>
    <col min="11" max="12" width="18" customWidth="1"/>
  </cols>
  <sheetData>
    <row r="1" spans="1:12" ht="2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22</v>
      </c>
      <c r="F1" s="2" t="s">
        <v>32</v>
      </c>
      <c r="G1" s="2" t="s">
        <v>19</v>
      </c>
      <c r="H1" s="2" t="s">
        <v>33</v>
      </c>
      <c r="I1" s="2" t="s">
        <v>34</v>
      </c>
      <c r="J1" s="2" t="s">
        <v>35</v>
      </c>
      <c r="K1" s="2" t="s">
        <v>3</v>
      </c>
      <c r="L1" s="2" t="s">
        <v>36</v>
      </c>
    </row>
    <row r="2" spans="1:12">
      <c r="A2" s="3" t="s">
        <v>37</v>
      </c>
      <c r="B2" s="4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5">
        <v>94009.99</v>
      </c>
      <c r="J2" s="5">
        <v>0</v>
      </c>
      <c r="K2" s="3" t="s">
        <v>45</v>
      </c>
      <c r="L2" s="3" t="s">
        <v>46</v>
      </c>
    </row>
    <row r="3" spans="1:12">
      <c r="A3" s="3" t="s">
        <v>47</v>
      </c>
      <c r="B3" s="4">
        <v>45781</v>
      </c>
      <c r="C3" s="3" t="s">
        <v>48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5">
        <v>24511.38</v>
      </c>
      <c r="J3" s="5">
        <v>20.48</v>
      </c>
      <c r="K3" s="3" t="s">
        <v>45</v>
      </c>
      <c r="L3" s="3" t="s">
        <v>53</v>
      </c>
    </row>
    <row r="4" spans="1:12">
      <c r="A4" s="3" t="s">
        <v>54</v>
      </c>
      <c r="B4" s="4">
        <v>45692</v>
      </c>
      <c r="C4" s="3" t="s">
        <v>40</v>
      </c>
      <c r="D4" s="3" t="s">
        <v>40</v>
      </c>
      <c r="E4" s="3" t="s">
        <v>55</v>
      </c>
      <c r="F4" s="3" t="s">
        <v>56</v>
      </c>
      <c r="G4" s="3" t="s">
        <v>43</v>
      </c>
      <c r="H4" s="3" t="s">
        <v>30</v>
      </c>
      <c r="I4" s="5">
        <v>109761.33</v>
      </c>
      <c r="J4" s="5">
        <v>0</v>
      </c>
      <c r="K4" s="3" t="s">
        <v>45</v>
      </c>
      <c r="L4" s="3" t="s">
        <v>57</v>
      </c>
    </row>
    <row r="5" spans="1:12">
      <c r="A5" s="3" t="s">
        <v>58</v>
      </c>
      <c r="B5" s="4">
        <v>46030</v>
      </c>
      <c r="C5" s="3" t="s">
        <v>40</v>
      </c>
      <c r="D5" s="3" t="s">
        <v>40</v>
      </c>
      <c r="E5" s="3" t="s">
        <v>49</v>
      </c>
      <c r="F5" s="3" t="s">
        <v>56</v>
      </c>
      <c r="G5" s="3" t="s">
        <v>43</v>
      </c>
      <c r="H5" s="3" t="s">
        <v>30</v>
      </c>
      <c r="I5" s="5">
        <v>13565.73</v>
      </c>
      <c r="J5" s="5">
        <v>0</v>
      </c>
      <c r="K5" s="3" t="s">
        <v>45</v>
      </c>
      <c r="L5" s="3" t="s">
        <v>46</v>
      </c>
    </row>
    <row r="6" spans="1:12">
      <c r="A6" s="3" t="s">
        <v>59</v>
      </c>
      <c r="B6" s="4">
        <v>45851</v>
      </c>
      <c r="C6" s="3" t="s">
        <v>40</v>
      </c>
      <c r="D6" s="3" t="s">
        <v>40</v>
      </c>
      <c r="E6" s="3" t="s">
        <v>49</v>
      </c>
      <c r="F6" s="3" t="s">
        <v>50</v>
      </c>
      <c r="G6" s="3" t="s">
        <v>60</v>
      </c>
      <c r="H6" s="3" t="s">
        <v>61</v>
      </c>
      <c r="I6" s="5">
        <v>8299.52</v>
      </c>
      <c r="J6" s="5">
        <v>0</v>
      </c>
      <c r="K6" s="3" t="s">
        <v>45</v>
      </c>
      <c r="L6" s="3" t="s">
        <v>53</v>
      </c>
    </row>
    <row r="7" spans="1:12">
      <c r="A7" s="3" t="s">
        <v>62</v>
      </c>
      <c r="B7" s="4">
        <v>45671</v>
      </c>
      <c r="C7" s="3" t="s">
        <v>63</v>
      </c>
      <c r="D7" s="3" t="s">
        <v>63</v>
      </c>
      <c r="E7" s="3" t="s">
        <v>64</v>
      </c>
      <c r="F7" s="3" t="s">
        <v>56</v>
      </c>
      <c r="G7" s="3" t="s">
        <v>43</v>
      </c>
      <c r="H7" s="3" t="s">
        <v>30</v>
      </c>
      <c r="I7" s="5">
        <v>84865.27</v>
      </c>
      <c r="J7" s="5">
        <v>0</v>
      </c>
      <c r="K7" s="3" t="s">
        <v>45</v>
      </c>
      <c r="L7" s="3" t="s">
        <v>65</v>
      </c>
    </row>
    <row r="8" spans="1:12">
      <c r="A8" s="3" t="s">
        <v>66</v>
      </c>
      <c r="B8" s="4">
        <v>46218</v>
      </c>
      <c r="C8" s="3" t="s">
        <v>67</v>
      </c>
      <c r="D8" s="3" t="s">
        <v>68</v>
      </c>
      <c r="E8" s="3" t="s">
        <v>64</v>
      </c>
      <c r="F8" s="3" t="s">
        <v>69</v>
      </c>
      <c r="G8" s="3" t="s">
        <v>60</v>
      </c>
      <c r="H8" s="3" t="s">
        <v>30</v>
      </c>
      <c r="I8" s="5">
        <v>24858.63</v>
      </c>
      <c r="J8" s="5">
        <v>0</v>
      </c>
      <c r="K8" s="3" t="s">
        <v>45</v>
      </c>
      <c r="L8" s="3" t="s">
        <v>70</v>
      </c>
    </row>
    <row r="9" spans="1:12">
      <c r="A9" s="3" t="s">
        <v>71</v>
      </c>
      <c r="B9" s="4">
        <v>45809</v>
      </c>
      <c r="C9" s="3" t="s">
        <v>67</v>
      </c>
      <c r="D9" s="3" t="s">
        <v>68</v>
      </c>
      <c r="E9" s="3" t="s">
        <v>55</v>
      </c>
      <c r="F9" s="3" t="s">
        <v>56</v>
      </c>
      <c r="G9" s="3" t="s">
        <v>43</v>
      </c>
      <c r="H9" s="3" t="s">
        <v>30</v>
      </c>
      <c r="I9" s="5">
        <v>2855.22</v>
      </c>
      <c r="J9" s="5">
        <v>0</v>
      </c>
      <c r="K9" s="3" t="s">
        <v>45</v>
      </c>
      <c r="L9" s="3" t="s">
        <v>70</v>
      </c>
    </row>
    <row r="10" spans="1:12">
      <c r="A10" s="3" t="s">
        <v>72</v>
      </c>
      <c r="B10" s="4">
        <v>45872</v>
      </c>
      <c r="C10" s="3" t="s">
        <v>73</v>
      </c>
      <c r="D10" s="3" t="s">
        <v>74</v>
      </c>
      <c r="E10" s="3" t="s">
        <v>49</v>
      </c>
      <c r="F10" s="3" t="s">
        <v>69</v>
      </c>
      <c r="G10" s="3" t="s">
        <v>60</v>
      </c>
      <c r="H10" s="3" t="s">
        <v>30</v>
      </c>
      <c r="I10" s="5">
        <v>40210.07</v>
      </c>
      <c r="J10" s="5">
        <v>0</v>
      </c>
      <c r="K10" s="3" t="s">
        <v>45</v>
      </c>
      <c r="L10" s="3" t="s">
        <v>75</v>
      </c>
    </row>
    <row r="11" spans="1:12">
      <c r="A11" s="3" t="s">
        <v>76</v>
      </c>
      <c r="B11" s="4">
        <v>46086</v>
      </c>
      <c r="C11" s="3" t="s">
        <v>73</v>
      </c>
      <c r="D11" s="3" t="s">
        <v>74</v>
      </c>
      <c r="E11" s="3" t="s">
        <v>77</v>
      </c>
      <c r="F11" s="3" t="s">
        <v>69</v>
      </c>
      <c r="G11" s="3" t="s">
        <v>51</v>
      </c>
      <c r="H11" s="3" t="s">
        <v>78</v>
      </c>
      <c r="I11" s="5">
        <v>17849.52</v>
      </c>
      <c r="J11" s="5">
        <v>96.07</v>
      </c>
      <c r="K11" s="3" t="s">
        <v>45</v>
      </c>
      <c r="L11" s="3" t="s">
        <v>75</v>
      </c>
    </row>
    <row r="12" spans="1:12">
      <c r="A12" s="3" t="s">
        <v>79</v>
      </c>
      <c r="B12" s="4">
        <v>45736</v>
      </c>
      <c r="C12" s="3" t="s">
        <v>67</v>
      </c>
      <c r="D12" s="3" t="s">
        <v>68</v>
      </c>
      <c r="E12" s="3" t="s">
        <v>49</v>
      </c>
      <c r="F12" s="3" t="s">
        <v>69</v>
      </c>
      <c r="G12" s="3" t="s">
        <v>51</v>
      </c>
      <c r="H12" s="3" t="s">
        <v>52</v>
      </c>
      <c r="I12" s="5">
        <v>19526.53</v>
      </c>
      <c r="J12" s="5">
        <v>38.28</v>
      </c>
      <c r="K12" s="3" t="s">
        <v>45</v>
      </c>
      <c r="L12" s="3" t="s">
        <v>46</v>
      </c>
    </row>
    <row r="13" spans="1:12">
      <c r="A13" s="3" t="s">
        <v>80</v>
      </c>
      <c r="B13" s="4">
        <v>45742</v>
      </c>
      <c r="C13" s="3" t="s">
        <v>63</v>
      </c>
      <c r="D13" s="3" t="s">
        <v>63</v>
      </c>
      <c r="E13" s="3" t="s">
        <v>49</v>
      </c>
      <c r="F13" s="3" t="s">
        <v>69</v>
      </c>
      <c r="G13" s="3" t="s">
        <v>43</v>
      </c>
      <c r="H13" s="3" t="s">
        <v>78</v>
      </c>
      <c r="I13" s="5">
        <v>110247.27</v>
      </c>
      <c r="J13" s="5">
        <v>0</v>
      </c>
      <c r="K13" s="3" t="s">
        <v>45</v>
      </c>
      <c r="L13" s="3" t="s">
        <v>53</v>
      </c>
    </row>
    <row r="14" spans="1:12">
      <c r="A14" s="3" t="s">
        <v>81</v>
      </c>
      <c r="B14" s="4">
        <v>46056</v>
      </c>
      <c r="C14" s="3" t="s">
        <v>48</v>
      </c>
      <c r="D14" s="3" t="s">
        <v>48</v>
      </c>
      <c r="E14" s="3" t="s">
        <v>64</v>
      </c>
      <c r="F14" s="3" t="s">
        <v>69</v>
      </c>
      <c r="G14" s="3" t="s">
        <v>51</v>
      </c>
      <c r="H14" s="3" t="s">
        <v>30</v>
      </c>
      <c r="I14" s="5">
        <v>3105.67</v>
      </c>
      <c r="J14" s="5">
        <v>64.62</v>
      </c>
      <c r="K14" s="3" t="s">
        <v>45</v>
      </c>
      <c r="L14" s="3" t="s">
        <v>57</v>
      </c>
    </row>
    <row r="15" spans="1:12">
      <c r="A15" s="3" t="s">
        <v>82</v>
      </c>
      <c r="B15" s="4">
        <v>45763</v>
      </c>
      <c r="C15" s="3" t="s">
        <v>73</v>
      </c>
      <c r="D15" s="3" t="s">
        <v>74</v>
      </c>
      <c r="E15" s="3" t="s">
        <v>49</v>
      </c>
      <c r="F15" s="3" t="s">
        <v>50</v>
      </c>
      <c r="G15" s="3" t="s">
        <v>83</v>
      </c>
      <c r="H15" s="3" t="s">
        <v>61</v>
      </c>
      <c r="I15" s="5">
        <v>117835.85</v>
      </c>
      <c r="J15" s="5">
        <v>59.46</v>
      </c>
      <c r="K15" s="3" t="s">
        <v>84</v>
      </c>
      <c r="L15" s="3" t="s">
        <v>46</v>
      </c>
    </row>
    <row r="16" spans="1:12">
      <c r="A16" s="3" t="s">
        <v>85</v>
      </c>
      <c r="B16" s="4">
        <v>45797</v>
      </c>
      <c r="C16" s="3" t="s">
        <v>63</v>
      </c>
      <c r="D16" s="3" t="s">
        <v>63</v>
      </c>
      <c r="E16" s="3" t="s">
        <v>64</v>
      </c>
      <c r="F16" s="3" t="s">
        <v>56</v>
      </c>
      <c r="G16" s="3" t="s">
        <v>43</v>
      </c>
      <c r="H16" s="3" t="s">
        <v>61</v>
      </c>
      <c r="I16" s="5">
        <v>18368.27</v>
      </c>
      <c r="J16" s="5">
        <v>0</v>
      </c>
      <c r="K16" s="3" t="s">
        <v>45</v>
      </c>
      <c r="L16" s="3" t="s">
        <v>70</v>
      </c>
    </row>
    <row r="17" spans="1:12">
      <c r="A17" s="3" t="s">
        <v>86</v>
      </c>
      <c r="B17" s="4">
        <v>46187</v>
      </c>
      <c r="C17" s="3" t="s">
        <v>63</v>
      </c>
      <c r="D17" s="3" t="s">
        <v>63</v>
      </c>
      <c r="E17" s="3" t="s">
        <v>55</v>
      </c>
      <c r="F17" s="3" t="s">
        <v>56</v>
      </c>
      <c r="G17" s="3" t="s">
        <v>51</v>
      </c>
      <c r="H17" s="3" t="s">
        <v>30</v>
      </c>
      <c r="I17" s="5">
        <v>9821.1</v>
      </c>
      <c r="J17" s="5">
        <v>96.16</v>
      </c>
      <c r="K17" s="3" t="s">
        <v>45</v>
      </c>
      <c r="L17" s="3" t="s">
        <v>65</v>
      </c>
    </row>
    <row r="18" spans="1:12">
      <c r="A18" s="3" t="s">
        <v>87</v>
      </c>
      <c r="B18" s="4">
        <v>45795</v>
      </c>
      <c r="C18" s="3" t="s">
        <v>48</v>
      </c>
      <c r="D18" s="3" t="s">
        <v>48</v>
      </c>
      <c r="E18" s="3" t="s">
        <v>55</v>
      </c>
      <c r="F18" s="3" t="s">
        <v>69</v>
      </c>
      <c r="G18" s="3" t="s">
        <v>60</v>
      </c>
      <c r="H18" s="3" t="s">
        <v>78</v>
      </c>
      <c r="I18" s="5">
        <v>43074.16</v>
      </c>
      <c r="J18" s="5">
        <v>0</v>
      </c>
      <c r="K18" s="3" t="s">
        <v>45</v>
      </c>
      <c r="L18" s="3" t="s">
        <v>53</v>
      </c>
    </row>
    <row r="19" spans="1:12">
      <c r="A19" s="3" t="s">
        <v>88</v>
      </c>
      <c r="B19" s="4">
        <v>45919</v>
      </c>
      <c r="C19" s="3" t="s">
        <v>73</v>
      </c>
      <c r="D19" s="3" t="s">
        <v>74</v>
      </c>
      <c r="E19" s="3" t="s">
        <v>49</v>
      </c>
      <c r="F19" s="3" t="s">
        <v>50</v>
      </c>
      <c r="G19" s="3" t="s">
        <v>43</v>
      </c>
      <c r="H19" s="3" t="s">
        <v>30</v>
      </c>
      <c r="I19" s="5">
        <v>27541.82</v>
      </c>
      <c r="J19" s="5">
        <v>0</v>
      </c>
      <c r="K19" s="3" t="s">
        <v>45</v>
      </c>
      <c r="L19" s="3" t="s">
        <v>75</v>
      </c>
    </row>
    <row r="20" spans="1:12">
      <c r="A20" s="3" t="s">
        <v>89</v>
      </c>
      <c r="B20" s="4">
        <v>46254</v>
      </c>
      <c r="C20" s="3" t="s">
        <v>40</v>
      </c>
      <c r="D20" s="3" t="s">
        <v>40</v>
      </c>
      <c r="E20" s="3" t="s">
        <v>55</v>
      </c>
      <c r="F20" s="3" t="s">
        <v>56</v>
      </c>
      <c r="G20" s="3" t="s">
        <v>43</v>
      </c>
      <c r="H20" s="3" t="s">
        <v>61</v>
      </c>
      <c r="I20" s="5">
        <v>39396.080000000002</v>
      </c>
      <c r="J20" s="5">
        <v>0</v>
      </c>
      <c r="K20" s="3" t="s">
        <v>45</v>
      </c>
      <c r="L20" s="3" t="s">
        <v>75</v>
      </c>
    </row>
    <row r="21" spans="1:12">
      <c r="A21" s="3" t="s">
        <v>90</v>
      </c>
      <c r="B21" s="4">
        <v>45935</v>
      </c>
      <c r="C21" s="3" t="s">
        <v>73</v>
      </c>
      <c r="D21" s="3" t="s">
        <v>74</v>
      </c>
      <c r="E21" s="3" t="s">
        <v>77</v>
      </c>
      <c r="F21" s="3" t="s">
        <v>56</v>
      </c>
      <c r="G21" s="3" t="s">
        <v>83</v>
      </c>
      <c r="H21" s="3" t="s">
        <v>78</v>
      </c>
      <c r="I21" s="5">
        <v>114741.34</v>
      </c>
      <c r="J21" s="5">
        <v>81.650000000000006</v>
      </c>
      <c r="K21" s="3" t="s">
        <v>45</v>
      </c>
      <c r="L21" s="3" t="s">
        <v>75</v>
      </c>
    </row>
    <row r="22" spans="1:12">
      <c r="A22" s="3" t="s">
        <v>91</v>
      </c>
      <c r="B22" s="4">
        <v>45984</v>
      </c>
      <c r="C22" s="3" t="s">
        <v>40</v>
      </c>
      <c r="D22" s="3" t="s">
        <v>40</v>
      </c>
      <c r="E22" s="3" t="s">
        <v>49</v>
      </c>
      <c r="F22" s="3" t="s">
        <v>50</v>
      </c>
      <c r="G22" s="3" t="s">
        <v>43</v>
      </c>
      <c r="H22" s="3" t="s">
        <v>78</v>
      </c>
      <c r="I22" s="5">
        <v>69775.89</v>
      </c>
      <c r="J22" s="5">
        <v>0</v>
      </c>
      <c r="K22" s="3" t="s">
        <v>45</v>
      </c>
      <c r="L22" s="3" t="s">
        <v>46</v>
      </c>
    </row>
    <row r="23" spans="1:12">
      <c r="A23" s="3" t="s">
        <v>92</v>
      </c>
      <c r="B23" s="4">
        <v>46178</v>
      </c>
      <c r="C23" s="3" t="s">
        <v>67</v>
      </c>
      <c r="D23" s="3" t="s">
        <v>68</v>
      </c>
      <c r="E23" s="3" t="s">
        <v>49</v>
      </c>
      <c r="F23" s="3" t="s">
        <v>50</v>
      </c>
      <c r="G23" s="3" t="s">
        <v>51</v>
      </c>
      <c r="H23" s="3" t="s">
        <v>52</v>
      </c>
      <c r="I23" s="5">
        <v>14782.21</v>
      </c>
      <c r="J23" s="5">
        <v>60.03</v>
      </c>
      <c r="K23" s="3" t="s">
        <v>45</v>
      </c>
      <c r="L23" s="3" t="s">
        <v>53</v>
      </c>
    </row>
    <row r="24" spans="1:12">
      <c r="A24" s="3" t="s">
        <v>93</v>
      </c>
      <c r="B24" s="4">
        <v>45826</v>
      </c>
      <c r="C24" s="3" t="s">
        <v>73</v>
      </c>
      <c r="D24" s="3" t="s">
        <v>74</v>
      </c>
      <c r="E24" s="3" t="s">
        <v>64</v>
      </c>
      <c r="F24" s="3" t="s">
        <v>50</v>
      </c>
      <c r="G24" s="3" t="s">
        <v>60</v>
      </c>
      <c r="H24" s="3" t="s">
        <v>61</v>
      </c>
      <c r="I24" s="5">
        <v>48273.63</v>
      </c>
      <c r="J24" s="5">
        <v>0</v>
      </c>
      <c r="K24" s="3" t="s">
        <v>45</v>
      </c>
      <c r="L24" s="3" t="s">
        <v>75</v>
      </c>
    </row>
    <row r="25" spans="1:12">
      <c r="A25" s="3" t="s">
        <v>94</v>
      </c>
      <c r="B25" s="4">
        <v>45940</v>
      </c>
      <c r="C25" s="3" t="s">
        <v>63</v>
      </c>
      <c r="D25" s="3" t="s">
        <v>63</v>
      </c>
      <c r="E25" s="3" t="s">
        <v>55</v>
      </c>
      <c r="F25" s="3" t="s">
        <v>69</v>
      </c>
      <c r="G25" s="3" t="s">
        <v>60</v>
      </c>
      <c r="H25" s="3" t="s">
        <v>52</v>
      </c>
      <c r="I25" s="5">
        <v>27726.67</v>
      </c>
      <c r="J25" s="5">
        <v>0</v>
      </c>
      <c r="K25" s="3" t="s">
        <v>45</v>
      </c>
      <c r="L25" s="3" t="s">
        <v>57</v>
      </c>
    </row>
    <row r="26" spans="1:12">
      <c r="A26" s="3" t="s">
        <v>95</v>
      </c>
      <c r="B26" s="4">
        <v>46061</v>
      </c>
      <c r="C26" s="3" t="s">
        <v>48</v>
      </c>
      <c r="D26" s="3" t="s">
        <v>48</v>
      </c>
      <c r="E26" s="3" t="s">
        <v>77</v>
      </c>
      <c r="F26" s="3" t="s">
        <v>69</v>
      </c>
      <c r="G26" s="3" t="s">
        <v>60</v>
      </c>
      <c r="H26" s="3" t="s">
        <v>30</v>
      </c>
      <c r="I26" s="5">
        <v>49817.01</v>
      </c>
      <c r="J26" s="5">
        <v>0</v>
      </c>
      <c r="K26" s="3" t="s">
        <v>45</v>
      </c>
      <c r="L26" s="3" t="s">
        <v>70</v>
      </c>
    </row>
    <row r="27" spans="1:12">
      <c r="A27" s="3" t="s">
        <v>96</v>
      </c>
      <c r="B27" s="4">
        <v>45934</v>
      </c>
      <c r="C27" s="3" t="s">
        <v>73</v>
      </c>
      <c r="D27" s="3" t="s">
        <v>74</v>
      </c>
      <c r="E27" s="3" t="s">
        <v>55</v>
      </c>
      <c r="F27" s="3" t="s">
        <v>69</v>
      </c>
      <c r="G27" s="3" t="s">
        <v>43</v>
      </c>
      <c r="H27" s="3" t="s">
        <v>61</v>
      </c>
      <c r="I27" s="5">
        <v>30118.76</v>
      </c>
      <c r="J27" s="5">
        <v>0</v>
      </c>
      <c r="K27" s="3" t="s">
        <v>45</v>
      </c>
      <c r="L27" s="3" t="s">
        <v>75</v>
      </c>
    </row>
    <row r="28" spans="1:12">
      <c r="A28" s="3" t="s">
        <v>97</v>
      </c>
      <c r="B28" s="4">
        <v>45694</v>
      </c>
      <c r="C28" s="3" t="s">
        <v>67</v>
      </c>
      <c r="D28" s="3" t="s">
        <v>68</v>
      </c>
      <c r="E28" s="3" t="s">
        <v>64</v>
      </c>
      <c r="F28" s="3" t="s">
        <v>56</v>
      </c>
      <c r="G28" s="3" t="s">
        <v>60</v>
      </c>
      <c r="H28" s="3" t="s">
        <v>30</v>
      </c>
      <c r="I28" s="5">
        <v>39331.800000000003</v>
      </c>
      <c r="J28" s="5">
        <v>0</v>
      </c>
      <c r="K28" s="3" t="s">
        <v>45</v>
      </c>
      <c r="L28" s="3" t="s">
        <v>46</v>
      </c>
    </row>
    <row r="29" spans="1:12">
      <c r="A29" s="3" t="s">
        <v>98</v>
      </c>
      <c r="B29" s="4">
        <v>46194</v>
      </c>
      <c r="C29" s="3" t="s">
        <v>40</v>
      </c>
      <c r="D29" s="3" t="s">
        <v>40</v>
      </c>
      <c r="E29" s="3" t="s">
        <v>77</v>
      </c>
      <c r="F29" s="3" t="s">
        <v>50</v>
      </c>
      <c r="G29" s="3" t="s">
        <v>60</v>
      </c>
      <c r="H29" s="3" t="s">
        <v>52</v>
      </c>
      <c r="I29" s="5">
        <v>10600.81</v>
      </c>
      <c r="J29" s="5">
        <v>0</v>
      </c>
      <c r="K29" s="3" t="s">
        <v>45</v>
      </c>
      <c r="L29" s="3" t="s">
        <v>46</v>
      </c>
    </row>
    <row r="30" spans="1:12">
      <c r="A30" s="3" t="s">
        <v>99</v>
      </c>
      <c r="B30" s="4">
        <v>45759</v>
      </c>
      <c r="C30" s="3" t="s">
        <v>63</v>
      </c>
      <c r="D30" s="3" t="s">
        <v>63</v>
      </c>
      <c r="E30" s="3" t="s">
        <v>55</v>
      </c>
      <c r="F30" s="3" t="s">
        <v>69</v>
      </c>
      <c r="G30" s="3" t="s">
        <v>51</v>
      </c>
      <c r="H30" s="3" t="s">
        <v>61</v>
      </c>
      <c r="I30" s="5">
        <v>29032.58</v>
      </c>
      <c r="J30" s="5">
        <v>87.94</v>
      </c>
      <c r="K30" s="3" t="s">
        <v>45</v>
      </c>
      <c r="L30" s="3" t="s">
        <v>53</v>
      </c>
    </row>
    <row r="31" spans="1:12">
      <c r="A31" s="3" t="s">
        <v>100</v>
      </c>
      <c r="B31" s="4">
        <v>45678</v>
      </c>
      <c r="C31" s="3" t="s">
        <v>73</v>
      </c>
      <c r="D31" s="3" t="s">
        <v>74</v>
      </c>
      <c r="E31" s="3" t="s">
        <v>64</v>
      </c>
      <c r="F31" s="3" t="s">
        <v>56</v>
      </c>
      <c r="G31" s="3" t="s">
        <v>83</v>
      </c>
      <c r="H31" s="3" t="s">
        <v>52</v>
      </c>
      <c r="I31" s="5">
        <v>137538.19</v>
      </c>
      <c r="J31" s="5">
        <v>158.58000000000001</v>
      </c>
      <c r="K31" s="3" t="s">
        <v>45</v>
      </c>
      <c r="L31" s="3" t="s">
        <v>75</v>
      </c>
    </row>
    <row r="32" spans="1:12">
      <c r="A32" s="3" t="s">
        <v>101</v>
      </c>
      <c r="B32" s="4">
        <v>46038</v>
      </c>
      <c r="C32" s="3" t="s">
        <v>73</v>
      </c>
      <c r="D32" s="3" t="s">
        <v>74</v>
      </c>
      <c r="E32" s="3" t="s">
        <v>55</v>
      </c>
      <c r="F32" s="3" t="s">
        <v>69</v>
      </c>
      <c r="G32" s="3" t="s">
        <v>60</v>
      </c>
      <c r="H32" s="3" t="s">
        <v>78</v>
      </c>
      <c r="I32" s="5">
        <v>21895.279999999999</v>
      </c>
      <c r="J32" s="5">
        <v>0</v>
      </c>
      <c r="K32" s="3" t="s">
        <v>45</v>
      </c>
      <c r="L32" s="3" t="s">
        <v>70</v>
      </c>
    </row>
    <row r="33" spans="1:12">
      <c r="A33" s="3" t="s">
        <v>102</v>
      </c>
      <c r="B33" s="4">
        <v>45865</v>
      </c>
      <c r="C33" s="3" t="s">
        <v>40</v>
      </c>
      <c r="D33" s="3" t="s">
        <v>40</v>
      </c>
      <c r="E33" s="3" t="s">
        <v>64</v>
      </c>
      <c r="F33" s="3" t="s">
        <v>56</v>
      </c>
      <c r="G33" s="3" t="s">
        <v>51</v>
      </c>
      <c r="H33" s="3" t="s">
        <v>61</v>
      </c>
      <c r="I33" s="5">
        <v>25932.04</v>
      </c>
      <c r="J33" s="5">
        <v>10.050000000000001</v>
      </c>
      <c r="K33" s="3" t="s">
        <v>45</v>
      </c>
      <c r="L33" s="3" t="s">
        <v>65</v>
      </c>
    </row>
    <row r="34" spans="1:12">
      <c r="A34" s="3" t="s">
        <v>103</v>
      </c>
      <c r="B34" s="4">
        <v>45789</v>
      </c>
      <c r="C34" s="3" t="s">
        <v>67</v>
      </c>
      <c r="D34" s="3" t="s">
        <v>68</v>
      </c>
      <c r="E34" s="3" t="s">
        <v>49</v>
      </c>
      <c r="F34" s="3" t="s">
        <v>56</v>
      </c>
      <c r="G34" s="3" t="s">
        <v>51</v>
      </c>
      <c r="H34" s="3" t="s">
        <v>30</v>
      </c>
      <c r="I34" s="5">
        <v>3817.99</v>
      </c>
      <c r="J34" s="5">
        <v>77.989999999999995</v>
      </c>
      <c r="K34" s="3" t="s">
        <v>84</v>
      </c>
      <c r="L34" s="3" t="s">
        <v>75</v>
      </c>
    </row>
    <row r="35" spans="1:12">
      <c r="A35" s="3" t="s">
        <v>104</v>
      </c>
      <c r="B35" s="4">
        <v>46039</v>
      </c>
      <c r="C35" s="3" t="s">
        <v>40</v>
      </c>
      <c r="D35" s="3" t="s">
        <v>40</v>
      </c>
      <c r="E35" s="3" t="s">
        <v>55</v>
      </c>
      <c r="F35" s="3" t="s">
        <v>50</v>
      </c>
      <c r="G35" s="3" t="s">
        <v>60</v>
      </c>
      <c r="H35" s="3" t="s">
        <v>30</v>
      </c>
      <c r="I35" s="5">
        <v>59452.1</v>
      </c>
      <c r="J35" s="5">
        <v>0</v>
      </c>
      <c r="K35" s="3" t="s">
        <v>45</v>
      </c>
      <c r="L35" s="3" t="s">
        <v>53</v>
      </c>
    </row>
    <row r="36" spans="1:12">
      <c r="A36" s="3" t="s">
        <v>105</v>
      </c>
      <c r="B36" s="4">
        <v>45713</v>
      </c>
      <c r="C36" s="3" t="s">
        <v>48</v>
      </c>
      <c r="D36" s="3" t="s">
        <v>48</v>
      </c>
      <c r="E36" s="3" t="s">
        <v>77</v>
      </c>
      <c r="F36" s="3" t="s">
        <v>56</v>
      </c>
      <c r="G36" s="3" t="s">
        <v>83</v>
      </c>
      <c r="H36" s="3" t="s">
        <v>52</v>
      </c>
      <c r="I36" s="5">
        <v>45609.09</v>
      </c>
      <c r="J36" s="5">
        <v>25.89</v>
      </c>
      <c r="K36" s="3" t="s">
        <v>45</v>
      </c>
      <c r="L36" s="3" t="s">
        <v>75</v>
      </c>
    </row>
    <row r="37" spans="1:12">
      <c r="A37" s="3" t="s">
        <v>106</v>
      </c>
      <c r="B37" s="4">
        <v>45730</v>
      </c>
      <c r="C37" s="3" t="s">
        <v>63</v>
      </c>
      <c r="D37" s="3" t="s">
        <v>63</v>
      </c>
      <c r="E37" s="3" t="s">
        <v>55</v>
      </c>
      <c r="F37" s="3" t="s">
        <v>69</v>
      </c>
      <c r="G37" s="3" t="s">
        <v>60</v>
      </c>
      <c r="H37" s="3" t="s">
        <v>52</v>
      </c>
      <c r="I37" s="5">
        <v>19566.22</v>
      </c>
      <c r="J37" s="5">
        <v>0</v>
      </c>
      <c r="K37" s="3" t="s">
        <v>45</v>
      </c>
      <c r="L37" s="3"/>
    </row>
    <row r="38" spans="1:12">
      <c r="A38" s="3" t="s">
        <v>107</v>
      </c>
      <c r="B38" s="4">
        <v>46107</v>
      </c>
      <c r="C38" s="3" t="s">
        <v>40</v>
      </c>
      <c r="D38" s="3" t="s">
        <v>40</v>
      </c>
      <c r="E38" s="3" t="s">
        <v>77</v>
      </c>
      <c r="F38" s="3" t="s">
        <v>56</v>
      </c>
      <c r="G38" s="3" t="s">
        <v>83</v>
      </c>
      <c r="H38" s="3" t="s">
        <v>30</v>
      </c>
      <c r="I38" s="5">
        <v>104195.71</v>
      </c>
      <c r="J38" s="5">
        <v>74.239999999999995</v>
      </c>
      <c r="K38" s="3" t="s">
        <v>45</v>
      </c>
      <c r="L38" s="3" t="s">
        <v>57</v>
      </c>
    </row>
    <row r="39" spans="1:12">
      <c r="A39" s="3" t="s">
        <v>108</v>
      </c>
      <c r="B39" s="4">
        <v>45871</v>
      </c>
      <c r="C39" s="3" t="s">
        <v>109</v>
      </c>
      <c r="D39" s="3" t="s">
        <v>63</v>
      </c>
      <c r="E39" s="3" t="s">
        <v>55</v>
      </c>
      <c r="F39" s="3" t="s">
        <v>50</v>
      </c>
      <c r="G39" s="3" t="s">
        <v>60</v>
      </c>
      <c r="H39" s="3" t="s">
        <v>30</v>
      </c>
      <c r="I39" s="5">
        <v>42471.41</v>
      </c>
      <c r="J39" s="5">
        <v>0</v>
      </c>
      <c r="K39" s="3" t="s">
        <v>45</v>
      </c>
      <c r="L39" s="3" t="s">
        <v>57</v>
      </c>
    </row>
    <row r="40" spans="1:12">
      <c r="A40" s="3" t="s">
        <v>110</v>
      </c>
      <c r="B40" s="4">
        <v>45956</v>
      </c>
      <c r="C40" s="3" t="s">
        <v>40</v>
      </c>
      <c r="D40" s="3" t="s">
        <v>40</v>
      </c>
      <c r="E40" s="3" t="s">
        <v>49</v>
      </c>
      <c r="F40" s="3" t="s">
        <v>50</v>
      </c>
      <c r="G40" s="3" t="s">
        <v>51</v>
      </c>
      <c r="H40" s="3" t="s">
        <v>61</v>
      </c>
      <c r="I40" s="5">
        <v>10169.24</v>
      </c>
      <c r="J40" s="5">
        <v>20.93</v>
      </c>
      <c r="K40" s="3" t="s">
        <v>45</v>
      </c>
      <c r="L40" s="3" t="s">
        <v>70</v>
      </c>
    </row>
    <row r="41" spans="1:12">
      <c r="A41" s="3" t="s">
        <v>111</v>
      </c>
      <c r="B41" s="4">
        <v>46214</v>
      </c>
      <c r="C41" s="3" t="s">
        <v>67</v>
      </c>
      <c r="D41" s="3" t="s">
        <v>68</v>
      </c>
      <c r="E41" s="3" t="s">
        <v>49</v>
      </c>
      <c r="F41" s="3" t="s">
        <v>50</v>
      </c>
      <c r="G41" s="3" t="s">
        <v>43</v>
      </c>
      <c r="H41" s="3" t="s">
        <v>52</v>
      </c>
      <c r="I41" s="5">
        <v>82896.990000000005</v>
      </c>
      <c r="J41" s="5">
        <v>0</v>
      </c>
      <c r="K41" s="3" t="s">
        <v>45</v>
      </c>
      <c r="L41" s="3" t="s">
        <v>46</v>
      </c>
    </row>
    <row r="42" spans="1:12">
      <c r="A42" s="3" t="s">
        <v>112</v>
      </c>
      <c r="B42" s="4">
        <v>45933</v>
      </c>
      <c r="C42" s="3" t="s">
        <v>63</v>
      </c>
      <c r="D42" s="3" t="s">
        <v>63</v>
      </c>
      <c r="E42" s="3" t="s">
        <v>55</v>
      </c>
      <c r="F42" s="3" t="s">
        <v>50</v>
      </c>
      <c r="G42" s="3" t="s">
        <v>43</v>
      </c>
      <c r="H42" s="3" t="s">
        <v>78</v>
      </c>
      <c r="I42" s="5">
        <v>98639.48</v>
      </c>
      <c r="J42" s="5">
        <v>0</v>
      </c>
      <c r="K42" s="3" t="s">
        <v>45</v>
      </c>
      <c r="L42" s="3" t="s">
        <v>65</v>
      </c>
    </row>
    <row r="43" spans="1:12">
      <c r="A43" s="3" t="s">
        <v>113</v>
      </c>
      <c r="B43" s="4">
        <v>45753</v>
      </c>
      <c r="C43" s="3" t="s">
        <v>48</v>
      </c>
      <c r="D43" s="3" t="s">
        <v>48</v>
      </c>
      <c r="E43" s="3" t="s">
        <v>55</v>
      </c>
      <c r="F43" s="3" t="s">
        <v>56</v>
      </c>
      <c r="G43" s="3" t="s">
        <v>51</v>
      </c>
      <c r="H43" s="3" t="s">
        <v>61</v>
      </c>
      <c r="I43" s="5">
        <v>3240.83</v>
      </c>
      <c r="J43" s="5">
        <v>17.420000000000002</v>
      </c>
      <c r="K43" s="3" t="s">
        <v>45</v>
      </c>
      <c r="L43" s="3" t="s">
        <v>46</v>
      </c>
    </row>
    <row r="44" spans="1:12">
      <c r="A44" s="3" t="s">
        <v>114</v>
      </c>
      <c r="B44" s="4">
        <v>46311</v>
      </c>
      <c r="C44" s="3" t="s">
        <v>67</v>
      </c>
      <c r="D44" s="3" t="s">
        <v>68</v>
      </c>
      <c r="E44" s="3" t="s">
        <v>77</v>
      </c>
      <c r="F44" s="3" t="s">
        <v>56</v>
      </c>
      <c r="G44" s="3" t="s">
        <v>83</v>
      </c>
      <c r="H44" s="3" t="s">
        <v>61</v>
      </c>
      <c r="I44" s="5">
        <v>107024.83</v>
      </c>
      <c r="J44" s="5">
        <v>184.85</v>
      </c>
      <c r="K44" s="3" t="s">
        <v>45</v>
      </c>
      <c r="L44" s="3" t="s">
        <v>57</v>
      </c>
    </row>
    <row r="45" spans="1:12">
      <c r="A45" s="3" t="s">
        <v>115</v>
      </c>
      <c r="B45" s="4">
        <v>46004</v>
      </c>
      <c r="C45" s="3" t="s">
        <v>48</v>
      </c>
      <c r="D45" s="3" t="s">
        <v>48</v>
      </c>
      <c r="E45" s="3" t="s">
        <v>55</v>
      </c>
      <c r="F45" s="3" t="s">
        <v>56</v>
      </c>
      <c r="G45" s="3" t="s">
        <v>83</v>
      </c>
      <c r="H45" s="3" t="s">
        <v>78</v>
      </c>
      <c r="I45" s="5">
        <v>131758.1</v>
      </c>
      <c r="J45" s="5">
        <v>149.22</v>
      </c>
      <c r="K45" s="3" t="s">
        <v>45</v>
      </c>
      <c r="L45" s="3" t="s">
        <v>70</v>
      </c>
    </row>
    <row r="46" spans="1:12">
      <c r="A46" s="3" t="s">
        <v>116</v>
      </c>
      <c r="B46" s="4">
        <v>45948</v>
      </c>
      <c r="C46" s="3" t="s">
        <v>40</v>
      </c>
      <c r="D46" s="3" t="s">
        <v>40</v>
      </c>
      <c r="E46" s="3" t="s">
        <v>55</v>
      </c>
      <c r="F46" s="3" t="s">
        <v>50</v>
      </c>
      <c r="G46" s="3" t="s">
        <v>51</v>
      </c>
      <c r="H46" s="3" t="s">
        <v>78</v>
      </c>
      <c r="I46" s="5">
        <v>13336.49</v>
      </c>
      <c r="J46" s="5">
        <v>40.04</v>
      </c>
      <c r="K46" s="3" t="s">
        <v>45</v>
      </c>
      <c r="L46" s="3" t="s">
        <v>65</v>
      </c>
    </row>
    <row r="47" spans="1:12">
      <c r="A47" s="3" t="s">
        <v>117</v>
      </c>
      <c r="B47" s="4">
        <v>46300</v>
      </c>
      <c r="C47" s="3" t="s">
        <v>48</v>
      </c>
      <c r="D47" s="3" t="s">
        <v>48</v>
      </c>
      <c r="E47" s="3" t="s">
        <v>77</v>
      </c>
      <c r="F47" s="3" t="s">
        <v>50</v>
      </c>
      <c r="G47" s="3" t="s">
        <v>51</v>
      </c>
      <c r="H47" s="3" t="s">
        <v>78</v>
      </c>
      <c r="I47" s="5">
        <v>12867.55</v>
      </c>
      <c r="J47" s="5">
        <v>81.83</v>
      </c>
      <c r="K47" s="3" t="s">
        <v>45</v>
      </c>
      <c r="L47" s="3" t="s">
        <v>46</v>
      </c>
    </row>
    <row r="48" spans="1:12">
      <c r="A48" s="3" t="s">
        <v>118</v>
      </c>
      <c r="B48" s="4">
        <v>45848</v>
      </c>
      <c r="C48" s="3" t="s">
        <v>73</v>
      </c>
      <c r="D48" s="3" t="s">
        <v>74</v>
      </c>
      <c r="E48" s="3" t="s">
        <v>55</v>
      </c>
      <c r="F48" s="3" t="s">
        <v>69</v>
      </c>
      <c r="G48" s="3" t="s">
        <v>60</v>
      </c>
      <c r="H48" s="3" t="s">
        <v>61</v>
      </c>
      <c r="I48" s="5">
        <v>63073.7</v>
      </c>
      <c r="J48" s="5">
        <v>0</v>
      </c>
      <c r="K48" s="3" t="s">
        <v>45</v>
      </c>
      <c r="L48" s="3" t="s">
        <v>75</v>
      </c>
    </row>
    <row r="49" spans="1:12">
      <c r="A49" s="3" t="s">
        <v>119</v>
      </c>
      <c r="B49" s="4">
        <v>45828</v>
      </c>
      <c r="C49" s="3" t="s">
        <v>63</v>
      </c>
      <c r="D49" s="3" t="s">
        <v>63</v>
      </c>
      <c r="E49" s="3" t="s">
        <v>41</v>
      </c>
      <c r="F49" s="3" t="s">
        <v>56</v>
      </c>
      <c r="G49" s="3" t="s">
        <v>83</v>
      </c>
      <c r="H49" s="3" t="s">
        <v>52</v>
      </c>
      <c r="I49" s="5">
        <v>55516.160000000003</v>
      </c>
      <c r="J49" s="5">
        <v>153.78</v>
      </c>
      <c r="K49" s="3" t="s">
        <v>45</v>
      </c>
      <c r="L49" s="3" t="s">
        <v>65</v>
      </c>
    </row>
    <row r="50" spans="1:12">
      <c r="A50" s="3" t="s">
        <v>120</v>
      </c>
      <c r="B50" s="4">
        <v>46296</v>
      </c>
      <c r="C50" s="3" t="s">
        <v>73</v>
      </c>
      <c r="D50" s="3" t="s">
        <v>74</v>
      </c>
      <c r="E50" s="3" t="s">
        <v>49</v>
      </c>
      <c r="F50" s="3" t="s">
        <v>56</v>
      </c>
      <c r="G50" s="3" t="s">
        <v>51</v>
      </c>
      <c r="H50" s="3" t="s">
        <v>61</v>
      </c>
      <c r="I50" s="5">
        <v>10540.03</v>
      </c>
      <c r="J50" s="5">
        <v>77.459999999999994</v>
      </c>
      <c r="K50" s="3" t="s">
        <v>45</v>
      </c>
      <c r="L50" s="3" t="s">
        <v>46</v>
      </c>
    </row>
    <row r="51" spans="1:12">
      <c r="A51" s="3" t="s">
        <v>121</v>
      </c>
      <c r="B51" s="4">
        <v>45913</v>
      </c>
      <c r="C51" s="3" t="s">
        <v>48</v>
      </c>
      <c r="D51" s="3" t="s">
        <v>48</v>
      </c>
      <c r="E51" s="3" t="s">
        <v>64</v>
      </c>
      <c r="F51" s="3" t="s">
        <v>69</v>
      </c>
      <c r="G51" s="3" t="s">
        <v>43</v>
      </c>
      <c r="H51" s="3" t="s">
        <v>52</v>
      </c>
      <c r="I51" s="5">
        <v>11668.44</v>
      </c>
      <c r="J51" s="5">
        <v>0</v>
      </c>
      <c r="K51" s="3" t="s">
        <v>45</v>
      </c>
      <c r="L51" s="3" t="s">
        <v>46</v>
      </c>
    </row>
    <row r="52" spans="1:12">
      <c r="A52" s="3" t="s">
        <v>122</v>
      </c>
      <c r="B52" s="4">
        <v>45964</v>
      </c>
      <c r="C52" s="3" t="s">
        <v>48</v>
      </c>
      <c r="D52" s="3" t="s">
        <v>48</v>
      </c>
      <c r="E52" s="3" t="s">
        <v>64</v>
      </c>
      <c r="F52" s="3" t="s">
        <v>50</v>
      </c>
      <c r="G52" s="3" t="s">
        <v>83</v>
      </c>
      <c r="H52" s="3" t="s">
        <v>78</v>
      </c>
      <c r="I52" s="5">
        <v>137941.39000000001</v>
      </c>
      <c r="J52" s="5">
        <v>178.91</v>
      </c>
      <c r="K52" s="3" t="s">
        <v>45</v>
      </c>
      <c r="L52" s="3" t="s">
        <v>70</v>
      </c>
    </row>
    <row r="53" spans="1:12">
      <c r="A53" s="3" t="s">
        <v>123</v>
      </c>
      <c r="B53" s="4">
        <v>46343</v>
      </c>
      <c r="C53" s="3" t="s">
        <v>40</v>
      </c>
      <c r="D53" s="3" t="s">
        <v>40</v>
      </c>
      <c r="E53" s="3" t="s">
        <v>64</v>
      </c>
      <c r="F53" s="3" t="s">
        <v>69</v>
      </c>
      <c r="G53" s="3" t="s">
        <v>83</v>
      </c>
      <c r="H53" s="3" t="s">
        <v>30</v>
      </c>
      <c r="I53" s="5">
        <v>85764.99</v>
      </c>
      <c r="J53" s="5">
        <v>137.19999999999999</v>
      </c>
      <c r="K53" s="3" t="s">
        <v>45</v>
      </c>
      <c r="L53" s="3" t="s">
        <v>75</v>
      </c>
    </row>
    <row r="54" spans="1:12">
      <c r="A54" s="3" t="s">
        <v>124</v>
      </c>
      <c r="B54" s="4">
        <v>45854</v>
      </c>
      <c r="C54" s="3" t="s">
        <v>63</v>
      </c>
      <c r="D54" s="3" t="s">
        <v>63</v>
      </c>
      <c r="E54" s="3" t="s">
        <v>77</v>
      </c>
      <c r="F54" s="3" t="s">
        <v>50</v>
      </c>
      <c r="G54" s="3" t="s">
        <v>83</v>
      </c>
      <c r="H54" s="3" t="s">
        <v>78</v>
      </c>
      <c r="I54" s="5">
        <v>128578.37</v>
      </c>
      <c r="J54" s="5">
        <v>34.590000000000003</v>
      </c>
      <c r="K54" s="3" t="s">
        <v>45</v>
      </c>
      <c r="L54" s="3" t="s">
        <v>53</v>
      </c>
    </row>
    <row r="55" spans="1:12">
      <c r="A55" s="3" t="s">
        <v>125</v>
      </c>
      <c r="B55" s="4">
        <v>45675</v>
      </c>
      <c r="C55" s="3" t="s">
        <v>40</v>
      </c>
      <c r="D55" s="3" t="s">
        <v>40</v>
      </c>
      <c r="E55" s="3" t="s">
        <v>77</v>
      </c>
      <c r="F55" s="3" t="s">
        <v>50</v>
      </c>
      <c r="G55" s="3" t="s">
        <v>51</v>
      </c>
      <c r="H55" s="3" t="s">
        <v>44</v>
      </c>
      <c r="I55" s="5">
        <v>9378.06</v>
      </c>
      <c r="J55" s="5">
        <v>17.8</v>
      </c>
      <c r="K55" s="3" t="s">
        <v>45</v>
      </c>
      <c r="L55" s="3" t="s">
        <v>57</v>
      </c>
    </row>
    <row r="56" spans="1:12">
      <c r="A56" s="3" t="s">
        <v>126</v>
      </c>
      <c r="B56" s="4">
        <v>46143</v>
      </c>
      <c r="C56" s="3" t="s">
        <v>73</v>
      </c>
      <c r="D56" s="3" t="s">
        <v>74</v>
      </c>
      <c r="E56" s="3" t="s">
        <v>77</v>
      </c>
      <c r="F56" s="3" t="s">
        <v>50</v>
      </c>
      <c r="G56" s="3" t="s">
        <v>43</v>
      </c>
      <c r="H56" s="3" t="s">
        <v>61</v>
      </c>
      <c r="I56" s="5">
        <v>24296.1</v>
      </c>
      <c r="J56" s="5">
        <v>0</v>
      </c>
      <c r="K56" s="3" t="s">
        <v>45</v>
      </c>
      <c r="L56" s="3" t="s">
        <v>57</v>
      </c>
    </row>
    <row r="57" spans="1:12">
      <c r="A57" s="3" t="s">
        <v>127</v>
      </c>
      <c r="B57" s="4">
        <v>45741</v>
      </c>
      <c r="C57" s="3" t="s">
        <v>67</v>
      </c>
      <c r="D57" s="3" t="s">
        <v>68</v>
      </c>
      <c r="E57" s="3" t="s">
        <v>77</v>
      </c>
      <c r="F57" s="3" t="s">
        <v>56</v>
      </c>
      <c r="G57" s="3" t="s">
        <v>43</v>
      </c>
      <c r="H57" s="3" t="s">
        <v>78</v>
      </c>
      <c r="I57" s="5">
        <v>32457.13</v>
      </c>
      <c r="J57" s="5">
        <v>0</v>
      </c>
      <c r="K57" s="3" t="s">
        <v>45</v>
      </c>
      <c r="L57" s="3" t="s">
        <v>65</v>
      </c>
    </row>
    <row r="58" spans="1:12">
      <c r="A58" s="3" t="s">
        <v>128</v>
      </c>
      <c r="B58" s="4">
        <v>45781</v>
      </c>
      <c r="C58" s="3" t="s">
        <v>48</v>
      </c>
      <c r="D58" s="3" t="s">
        <v>48</v>
      </c>
      <c r="E58" s="3" t="s">
        <v>55</v>
      </c>
      <c r="F58" s="3" t="s">
        <v>56</v>
      </c>
      <c r="G58" s="3" t="s">
        <v>51</v>
      </c>
      <c r="H58" s="3" t="s">
        <v>30</v>
      </c>
      <c r="I58" s="5">
        <v>4816.26</v>
      </c>
      <c r="J58" s="5">
        <v>10.49</v>
      </c>
      <c r="K58" s="3" t="s">
        <v>45</v>
      </c>
      <c r="L58" s="3" t="s">
        <v>57</v>
      </c>
    </row>
    <row r="59" spans="1:12">
      <c r="A59" s="3" t="s">
        <v>129</v>
      </c>
      <c r="B59" s="4">
        <v>46313</v>
      </c>
      <c r="C59" s="3" t="s">
        <v>48</v>
      </c>
      <c r="D59" s="3" t="s">
        <v>48</v>
      </c>
      <c r="E59" s="3" t="s">
        <v>49</v>
      </c>
      <c r="F59" s="3" t="s">
        <v>56</v>
      </c>
      <c r="G59" s="3" t="s">
        <v>43</v>
      </c>
      <c r="H59" s="3" t="s">
        <v>61</v>
      </c>
      <c r="I59" s="5">
        <v>55260.7</v>
      </c>
      <c r="J59" s="5">
        <v>0</v>
      </c>
      <c r="K59" s="3" t="s">
        <v>84</v>
      </c>
      <c r="L59" s="3" t="s">
        <v>53</v>
      </c>
    </row>
    <row r="60" spans="1:12">
      <c r="A60" s="3" t="s">
        <v>130</v>
      </c>
      <c r="B60" s="4">
        <v>45976</v>
      </c>
      <c r="C60" s="3" t="s">
        <v>48</v>
      </c>
      <c r="D60" s="3" t="s">
        <v>48</v>
      </c>
      <c r="E60" s="3" t="s">
        <v>49</v>
      </c>
      <c r="F60" s="3" t="s">
        <v>50</v>
      </c>
      <c r="G60" s="3" t="s">
        <v>60</v>
      </c>
      <c r="H60" s="3" t="s">
        <v>52</v>
      </c>
      <c r="I60" s="5">
        <v>44712.73</v>
      </c>
      <c r="J60" s="5">
        <v>0</v>
      </c>
      <c r="K60" s="3" t="s">
        <v>45</v>
      </c>
      <c r="L60" s="3" t="s">
        <v>70</v>
      </c>
    </row>
    <row r="61" spans="1:12">
      <c r="A61" s="3" t="s">
        <v>131</v>
      </c>
      <c r="B61" s="4">
        <v>45949</v>
      </c>
      <c r="C61" s="3" t="s">
        <v>73</v>
      </c>
      <c r="D61" s="3" t="s">
        <v>74</v>
      </c>
      <c r="E61" s="3" t="s">
        <v>77</v>
      </c>
      <c r="F61" s="3" t="s">
        <v>56</v>
      </c>
      <c r="G61" s="3" t="s">
        <v>83</v>
      </c>
      <c r="H61" s="3" t="s">
        <v>78</v>
      </c>
      <c r="I61" s="5">
        <v>13873.66</v>
      </c>
      <c r="J61" s="5">
        <v>96.13</v>
      </c>
      <c r="K61" s="3" t="s">
        <v>45</v>
      </c>
      <c r="L61" s="3" t="s">
        <v>65</v>
      </c>
    </row>
    <row r="62" spans="1:12">
      <c r="A62" s="3" t="s">
        <v>132</v>
      </c>
      <c r="B62" s="4">
        <v>46216</v>
      </c>
      <c r="C62" s="3" t="s">
        <v>63</v>
      </c>
      <c r="D62" s="3" t="s">
        <v>63</v>
      </c>
      <c r="E62" s="3" t="s">
        <v>49</v>
      </c>
      <c r="F62" s="3" t="s">
        <v>56</v>
      </c>
      <c r="G62" s="3" t="s">
        <v>43</v>
      </c>
      <c r="H62" s="3" t="s">
        <v>30</v>
      </c>
      <c r="I62" s="5">
        <v>69368.53</v>
      </c>
      <c r="J62" s="5">
        <v>0</v>
      </c>
      <c r="K62" s="3" t="s">
        <v>45</v>
      </c>
      <c r="L62" s="3" t="s">
        <v>65</v>
      </c>
    </row>
    <row r="63" spans="1:12">
      <c r="A63" s="3" t="s">
        <v>133</v>
      </c>
      <c r="B63" s="4">
        <v>45945</v>
      </c>
      <c r="C63" s="3" t="s">
        <v>73</v>
      </c>
      <c r="D63" s="3" t="s">
        <v>74</v>
      </c>
      <c r="E63" s="3" t="s">
        <v>64</v>
      </c>
      <c r="F63" s="3" t="s">
        <v>56</v>
      </c>
      <c r="G63" s="3" t="s">
        <v>51</v>
      </c>
      <c r="H63" s="3" t="s">
        <v>78</v>
      </c>
      <c r="I63" s="5">
        <v>16961.72</v>
      </c>
      <c r="J63" s="5">
        <v>51.77</v>
      </c>
      <c r="K63" s="3" t="s">
        <v>45</v>
      </c>
      <c r="L63" s="3" t="s">
        <v>57</v>
      </c>
    </row>
    <row r="64" spans="1:12">
      <c r="A64" s="3" t="s">
        <v>134</v>
      </c>
      <c r="B64" s="4">
        <v>45775</v>
      </c>
      <c r="C64" s="3" t="s">
        <v>67</v>
      </c>
      <c r="D64" s="3" t="s">
        <v>68</v>
      </c>
      <c r="E64" s="3" t="s">
        <v>55</v>
      </c>
      <c r="F64" s="3" t="s">
        <v>69</v>
      </c>
      <c r="G64" s="3" t="s">
        <v>60</v>
      </c>
      <c r="H64" s="3" t="s">
        <v>30</v>
      </c>
      <c r="I64" s="5">
        <v>65027</v>
      </c>
      <c r="J64" s="5">
        <v>0</v>
      </c>
      <c r="K64" s="3" t="s">
        <v>45</v>
      </c>
      <c r="L64" s="3" t="s">
        <v>46</v>
      </c>
    </row>
    <row r="65" spans="1:12">
      <c r="A65" s="3" t="s">
        <v>135</v>
      </c>
      <c r="B65" s="4">
        <v>46287</v>
      </c>
      <c r="C65" s="3" t="s">
        <v>73</v>
      </c>
      <c r="D65" s="3" t="s">
        <v>74</v>
      </c>
      <c r="E65" s="3" t="s">
        <v>49</v>
      </c>
      <c r="F65" s="3" t="s">
        <v>50</v>
      </c>
      <c r="G65" s="3" t="s">
        <v>51</v>
      </c>
      <c r="H65" s="3" t="s">
        <v>52</v>
      </c>
      <c r="I65" s="5">
        <v>940.9</v>
      </c>
      <c r="J65" s="5">
        <v>47.68</v>
      </c>
      <c r="K65" s="3" t="s">
        <v>45</v>
      </c>
      <c r="L65" s="3" t="s">
        <v>53</v>
      </c>
    </row>
    <row r="66" spans="1:12">
      <c r="A66" s="3" t="s">
        <v>136</v>
      </c>
      <c r="B66" s="4">
        <v>45819</v>
      </c>
      <c r="C66" s="3" t="s">
        <v>73</v>
      </c>
      <c r="D66" s="3" t="s">
        <v>74</v>
      </c>
      <c r="E66" s="3" t="s">
        <v>64</v>
      </c>
      <c r="F66" s="3" t="s">
        <v>69</v>
      </c>
      <c r="G66" s="3" t="s">
        <v>83</v>
      </c>
      <c r="H66" s="3" t="s">
        <v>78</v>
      </c>
      <c r="I66" s="5">
        <v>93805.86</v>
      </c>
      <c r="J66" s="5">
        <v>31.16</v>
      </c>
      <c r="K66" s="3" t="s">
        <v>45</v>
      </c>
      <c r="L66" s="3" t="s">
        <v>53</v>
      </c>
    </row>
    <row r="67" spans="1:12">
      <c r="A67" s="3" t="s">
        <v>137</v>
      </c>
      <c r="B67" s="4">
        <v>45774</v>
      </c>
      <c r="C67" s="3" t="s">
        <v>40</v>
      </c>
      <c r="D67" s="3" t="s">
        <v>40</v>
      </c>
      <c r="E67" s="3" t="s">
        <v>49</v>
      </c>
      <c r="F67" s="3" t="s">
        <v>56</v>
      </c>
      <c r="G67" s="3" t="s">
        <v>43</v>
      </c>
      <c r="H67" s="3" t="s">
        <v>30</v>
      </c>
      <c r="I67" s="5">
        <v>18038.14</v>
      </c>
      <c r="J67" s="5">
        <v>0</v>
      </c>
      <c r="K67" s="3" t="s">
        <v>45</v>
      </c>
      <c r="L67" s="3" t="s">
        <v>65</v>
      </c>
    </row>
    <row r="68" spans="1:12">
      <c r="A68" s="3" t="s">
        <v>138</v>
      </c>
      <c r="B68" s="4">
        <v>46364</v>
      </c>
      <c r="C68" s="3" t="s">
        <v>63</v>
      </c>
      <c r="D68" s="3" t="s">
        <v>63</v>
      </c>
      <c r="E68" s="3" t="s">
        <v>49</v>
      </c>
      <c r="F68" s="3" t="s">
        <v>50</v>
      </c>
      <c r="G68" s="3" t="s">
        <v>60</v>
      </c>
      <c r="H68" s="3" t="s">
        <v>30</v>
      </c>
      <c r="I68" s="5">
        <v>22991.47</v>
      </c>
      <c r="J68" s="5">
        <v>0</v>
      </c>
      <c r="K68" s="3" t="s">
        <v>45</v>
      </c>
      <c r="L68" s="3" t="s">
        <v>65</v>
      </c>
    </row>
    <row r="69" spans="1:12">
      <c r="A69" s="3" t="s">
        <v>139</v>
      </c>
      <c r="B69" s="4">
        <v>45882</v>
      </c>
      <c r="C69" s="3" t="s">
        <v>40</v>
      </c>
      <c r="D69" s="3" t="s">
        <v>40</v>
      </c>
      <c r="E69" s="3" t="s">
        <v>77</v>
      </c>
      <c r="F69" s="3" t="s">
        <v>140</v>
      </c>
      <c r="G69" s="3" t="s">
        <v>83</v>
      </c>
      <c r="H69" s="3" t="s">
        <v>52</v>
      </c>
      <c r="I69" s="5">
        <v>144934.95000000001</v>
      </c>
      <c r="J69" s="5">
        <v>95.83</v>
      </c>
      <c r="K69" s="3" t="s">
        <v>45</v>
      </c>
      <c r="L69" s="3" t="s">
        <v>57</v>
      </c>
    </row>
    <row r="70" spans="1:12">
      <c r="A70" s="3" t="s">
        <v>141</v>
      </c>
      <c r="B70" s="4">
        <v>45812</v>
      </c>
      <c r="C70" s="3" t="s">
        <v>67</v>
      </c>
      <c r="D70" s="3" t="s">
        <v>68</v>
      </c>
      <c r="E70" s="3" t="s">
        <v>77</v>
      </c>
      <c r="F70" s="3" t="s">
        <v>69</v>
      </c>
      <c r="G70" s="3" t="s">
        <v>43</v>
      </c>
      <c r="H70" s="3" t="s">
        <v>30</v>
      </c>
      <c r="I70" s="5">
        <v>90385.43</v>
      </c>
      <c r="J70" s="5">
        <v>0</v>
      </c>
      <c r="K70" s="3" t="s">
        <v>45</v>
      </c>
      <c r="L70" s="3" t="s">
        <v>57</v>
      </c>
    </row>
    <row r="71" spans="1:12">
      <c r="A71" s="3" t="s">
        <v>142</v>
      </c>
      <c r="B71" s="4">
        <v>46289</v>
      </c>
      <c r="C71" s="3" t="s">
        <v>48</v>
      </c>
      <c r="D71" s="3" t="s">
        <v>48</v>
      </c>
      <c r="E71" s="3" t="s">
        <v>77</v>
      </c>
      <c r="F71" s="3" t="s">
        <v>69</v>
      </c>
      <c r="G71" s="3" t="s">
        <v>60</v>
      </c>
      <c r="H71" s="3" t="s">
        <v>52</v>
      </c>
      <c r="I71" s="5">
        <v>12007.08</v>
      </c>
      <c r="J71" s="5">
        <v>0</v>
      </c>
      <c r="K71" s="3" t="s">
        <v>45</v>
      </c>
      <c r="L71" s="3" t="s">
        <v>46</v>
      </c>
    </row>
    <row r="72" spans="1:12">
      <c r="A72" s="3" t="s">
        <v>143</v>
      </c>
      <c r="B72" s="4">
        <v>45846</v>
      </c>
      <c r="C72" s="3" t="s">
        <v>73</v>
      </c>
      <c r="D72" s="3" t="s">
        <v>74</v>
      </c>
      <c r="E72" s="3" t="s">
        <v>64</v>
      </c>
      <c r="F72" s="3" t="s">
        <v>69</v>
      </c>
      <c r="G72" s="3" t="s">
        <v>83</v>
      </c>
      <c r="H72" s="3" t="s">
        <v>30</v>
      </c>
      <c r="I72" s="5">
        <v>108308.76</v>
      </c>
      <c r="J72" s="5">
        <v>75.56</v>
      </c>
      <c r="K72" s="3" t="s">
        <v>45</v>
      </c>
      <c r="L72" s="3" t="s">
        <v>70</v>
      </c>
    </row>
    <row r="73" spans="1:12">
      <c r="A73" s="3" t="s">
        <v>144</v>
      </c>
      <c r="B73" s="4">
        <v>45678</v>
      </c>
      <c r="C73" s="3" t="s">
        <v>40</v>
      </c>
      <c r="D73" s="3" t="s">
        <v>40</v>
      </c>
      <c r="E73" s="3" t="s">
        <v>55</v>
      </c>
      <c r="F73" s="3" t="s">
        <v>69</v>
      </c>
      <c r="G73" s="3" t="s">
        <v>43</v>
      </c>
      <c r="H73" s="3" t="s">
        <v>30</v>
      </c>
      <c r="I73" s="5">
        <v>111834.76</v>
      </c>
      <c r="J73" s="5">
        <v>0</v>
      </c>
      <c r="K73" s="3" t="s">
        <v>45</v>
      </c>
      <c r="L73" s="3" t="s">
        <v>46</v>
      </c>
    </row>
    <row r="74" spans="1:12">
      <c r="A74" s="3" t="s">
        <v>145</v>
      </c>
      <c r="B74" s="4">
        <v>46381</v>
      </c>
      <c r="C74" s="3" t="s">
        <v>63</v>
      </c>
      <c r="D74" s="3" t="s">
        <v>63</v>
      </c>
      <c r="E74" s="3" t="s">
        <v>55</v>
      </c>
      <c r="F74" s="3" t="s">
        <v>50</v>
      </c>
      <c r="G74" s="3" t="s">
        <v>60</v>
      </c>
      <c r="H74" s="3" t="s">
        <v>78</v>
      </c>
      <c r="I74" s="5">
        <v>13814.59</v>
      </c>
      <c r="J74" s="5">
        <v>0</v>
      </c>
      <c r="K74" s="3" t="s">
        <v>45</v>
      </c>
      <c r="L74" s="3" t="s">
        <v>65</v>
      </c>
    </row>
    <row r="75" spans="1:12">
      <c r="A75" s="3" t="s">
        <v>146</v>
      </c>
      <c r="B75" s="4">
        <v>45824</v>
      </c>
      <c r="C75" s="3" t="s">
        <v>67</v>
      </c>
      <c r="D75" s="3" t="s">
        <v>68</v>
      </c>
      <c r="E75" s="3" t="s">
        <v>49</v>
      </c>
      <c r="F75" s="3" t="s">
        <v>69</v>
      </c>
      <c r="G75" s="3" t="s">
        <v>51</v>
      </c>
      <c r="H75" s="3" t="s">
        <v>61</v>
      </c>
      <c r="I75" s="5">
        <v>17565.72</v>
      </c>
      <c r="J75" s="5">
        <v>38.39</v>
      </c>
      <c r="K75" s="3" t="s">
        <v>45</v>
      </c>
      <c r="L75" s="3" t="s">
        <v>65</v>
      </c>
    </row>
    <row r="76" spans="1:12">
      <c r="A76" s="3" t="s">
        <v>147</v>
      </c>
      <c r="B76" s="4">
        <v>45943</v>
      </c>
      <c r="C76" s="3" t="s">
        <v>148</v>
      </c>
      <c r="D76" s="3" t="s">
        <v>48</v>
      </c>
      <c r="E76" s="3" t="s">
        <v>77</v>
      </c>
      <c r="F76" s="3" t="s">
        <v>69</v>
      </c>
      <c r="G76" s="3" t="s">
        <v>60</v>
      </c>
      <c r="H76" s="3" t="s">
        <v>78</v>
      </c>
      <c r="I76" s="5">
        <v>25655.06</v>
      </c>
      <c r="J76" s="5">
        <v>0</v>
      </c>
      <c r="K76" s="3" t="s">
        <v>45</v>
      </c>
      <c r="L76" s="3" t="s">
        <v>53</v>
      </c>
    </row>
    <row r="77" spans="1:12">
      <c r="A77" s="3" t="s">
        <v>149</v>
      </c>
      <c r="B77" s="4">
        <v>46043</v>
      </c>
      <c r="C77" s="3" t="s">
        <v>73</v>
      </c>
      <c r="D77" s="3" t="s">
        <v>74</v>
      </c>
      <c r="E77" s="3" t="s">
        <v>77</v>
      </c>
      <c r="F77" s="3" t="s">
        <v>69</v>
      </c>
      <c r="G77" s="3" t="s">
        <v>60</v>
      </c>
      <c r="H77" s="3" t="s">
        <v>78</v>
      </c>
      <c r="I77" s="5">
        <v>15476.54</v>
      </c>
      <c r="J77" s="5">
        <v>0</v>
      </c>
      <c r="K77" s="3" t="s">
        <v>45</v>
      </c>
      <c r="L77" s="3" t="s">
        <v>53</v>
      </c>
    </row>
    <row r="78" spans="1:12">
      <c r="A78" s="3" t="s">
        <v>150</v>
      </c>
      <c r="B78" s="4">
        <v>45748</v>
      </c>
      <c r="C78" s="3" t="s">
        <v>73</v>
      </c>
      <c r="D78" s="3" t="s">
        <v>74</v>
      </c>
      <c r="E78" s="3" t="s">
        <v>77</v>
      </c>
      <c r="F78" s="3" t="s">
        <v>56</v>
      </c>
      <c r="G78" s="3" t="s">
        <v>83</v>
      </c>
      <c r="H78" s="3" t="s">
        <v>30</v>
      </c>
      <c r="I78" s="5">
        <v>174940.26</v>
      </c>
      <c r="J78" s="5">
        <v>30.04</v>
      </c>
      <c r="K78" s="3" t="s">
        <v>45</v>
      </c>
      <c r="L78" s="3" t="s">
        <v>65</v>
      </c>
    </row>
    <row r="79" spans="1:12">
      <c r="A79" s="3" t="s">
        <v>151</v>
      </c>
      <c r="B79" s="4">
        <v>45772</v>
      </c>
      <c r="C79" s="3" t="s">
        <v>40</v>
      </c>
      <c r="D79" s="3" t="s">
        <v>40</v>
      </c>
      <c r="E79" s="3" t="s">
        <v>49</v>
      </c>
      <c r="F79" s="3" t="s">
        <v>69</v>
      </c>
      <c r="G79" s="3" t="s">
        <v>60</v>
      </c>
      <c r="H79" s="3" t="s">
        <v>78</v>
      </c>
      <c r="I79" s="5">
        <v>44613.09</v>
      </c>
      <c r="J79" s="5">
        <v>0</v>
      </c>
      <c r="K79" s="3" t="s">
        <v>45</v>
      </c>
      <c r="L79" s="3" t="s">
        <v>46</v>
      </c>
    </row>
    <row r="80" spans="1:12">
      <c r="A80" s="3" t="s">
        <v>152</v>
      </c>
      <c r="B80" s="4">
        <v>46314</v>
      </c>
      <c r="C80" s="3" t="s">
        <v>63</v>
      </c>
      <c r="D80" s="3" t="s">
        <v>63</v>
      </c>
      <c r="E80" s="3" t="s">
        <v>55</v>
      </c>
      <c r="F80" s="3" t="s">
        <v>50</v>
      </c>
      <c r="G80" s="3" t="s">
        <v>83</v>
      </c>
      <c r="H80" s="3" t="s">
        <v>52</v>
      </c>
      <c r="I80" s="5">
        <v>138676.51999999999</v>
      </c>
      <c r="J80" s="5">
        <v>41.86</v>
      </c>
      <c r="K80" s="3" t="s">
        <v>45</v>
      </c>
      <c r="L80" s="3" t="s">
        <v>57</v>
      </c>
    </row>
    <row r="81" spans="1:12">
      <c r="A81" s="3" t="s">
        <v>153</v>
      </c>
      <c r="B81" s="4">
        <v>45691</v>
      </c>
      <c r="C81" s="3" t="s">
        <v>67</v>
      </c>
      <c r="D81" s="3" t="s">
        <v>68</v>
      </c>
      <c r="E81" s="3" t="s">
        <v>55</v>
      </c>
      <c r="F81" s="3" t="s">
        <v>69</v>
      </c>
      <c r="G81" s="3" t="s">
        <v>154</v>
      </c>
      <c r="H81" s="3" t="s">
        <v>78</v>
      </c>
      <c r="I81" s="5">
        <v>4780.87</v>
      </c>
      <c r="J81" s="5">
        <v>15.44</v>
      </c>
      <c r="K81" s="3" t="s">
        <v>45</v>
      </c>
      <c r="L81" s="3" t="s">
        <v>46</v>
      </c>
    </row>
    <row r="82" spans="1:12">
      <c r="A82" s="3" t="s">
        <v>155</v>
      </c>
      <c r="B82" s="4">
        <v>45784</v>
      </c>
      <c r="C82" s="3" t="s">
        <v>48</v>
      </c>
      <c r="D82" s="3" t="s">
        <v>48</v>
      </c>
      <c r="E82" s="3" t="s">
        <v>77</v>
      </c>
      <c r="F82" s="3" t="s">
        <v>56</v>
      </c>
      <c r="G82" s="3" t="s">
        <v>60</v>
      </c>
      <c r="H82" s="3" t="s">
        <v>78</v>
      </c>
      <c r="I82" s="5">
        <v>42082.78</v>
      </c>
      <c r="J82" s="5">
        <v>0</v>
      </c>
      <c r="K82" s="3" t="s">
        <v>45</v>
      </c>
      <c r="L82" s="3" t="s">
        <v>70</v>
      </c>
    </row>
    <row r="83" spans="1:12">
      <c r="A83" s="3" t="s">
        <v>156</v>
      </c>
      <c r="B83" s="4">
        <v>46246</v>
      </c>
      <c r="C83" s="3" t="s">
        <v>67</v>
      </c>
      <c r="D83" s="3" t="s">
        <v>68</v>
      </c>
      <c r="E83" s="3" t="s">
        <v>55</v>
      </c>
      <c r="F83" s="3" t="s">
        <v>56</v>
      </c>
      <c r="G83" s="3" t="s">
        <v>83</v>
      </c>
      <c r="H83" s="3" t="s">
        <v>78</v>
      </c>
      <c r="I83" s="5">
        <v>107737.95</v>
      </c>
      <c r="J83" s="5">
        <v>63.37</v>
      </c>
      <c r="K83" s="3" t="s">
        <v>45</v>
      </c>
      <c r="L83" s="3" t="s">
        <v>46</v>
      </c>
    </row>
    <row r="84" spans="1:12">
      <c r="A84" s="3" t="s">
        <v>157</v>
      </c>
      <c r="B84" s="4">
        <v>45924</v>
      </c>
      <c r="C84" s="3" t="s">
        <v>63</v>
      </c>
      <c r="D84" s="3" t="s">
        <v>63</v>
      </c>
      <c r="E84" s="3" t="s">
        <v>77</v>
      </c>
      <c r="F84" s="3" t="s">
        <v>56</v>
      </c>
      <c r="G84" s="3" t="s">
        <v>51</v>
      </c>
      <c r="H84" s="3" t="s">
        <v>30</v>
      </c>
      <c r="I84" s="5">
        <v>2430.46</v>
      </c>
      <c r="J84" s="5">
        <v>26.19</v>
      </c>
      <c r="K84" s="3" t="s">
        <v>45</v>
      </c>
      <c r="L84" s="3" t="s">
        <v>75</v>
      </c>
    </row>
    <row r="85" spans="1:12">
      <c r="A85" s="3" t="s">
        <v>158</v>
      </c>
      <c r="B85" s="4">
        <v>45865</v>
      </c>
      <c r="C85" s="3" t="s">
        <v>73</v>
      </c>
      <c r="D85" s="3" t="s">
        <v>74</v>
      </c>
      <c r="E85" s="3" t="s">
        <v>64</v>
      </c>
      <c r="F85" s="3" t="s">
        <v>69</v>
      </c>
      <c r="G85" s="3" t="s">
        <v>60</v>
      </c>
      <c r="H85" s="3" t="s">
        <v>30</v>
      </c>
      <c r="I85" s="5">
        <v>67805.19</v>
      </c>
      <c r="J85" s="5">
        <v>0</v>
      </c>
      <c r="K85" s="3" t="s">
        <v>45</v>
      </c>
      <c r="L85" s="3" t="s">
        <v>57</v>
      </c>
    </row>
    <row r="86" spans="1:12">
      <c r="A86" s="3" t="s">
        <v>159</v>
      </c>
      <c r="B86" s="4">
        <v>46099</v>
      </c>
      <c r="C86" s="3" t="s">
        <v>48</v>
      </c>
      <c r="D86" s="3" t="s">
        <v>48</v>
      </c>
      <c r="E86" s="3" t="s">
        <v>64</v>
      </c>
      <c r="F86" s="3" t="s">
        <v>56</v>
      </c>
      <c r="G86" s="3" t="s">
        <v>83</v>
      </c>
      <c r="H86" s="3" t="s">
        <v>61</v>
      </c>
      <c r="I86" s="5">
        <v>5318.96</v>
      </c>
      <c r="J86" s="5">
        <v>74.599999999999994</v>
      </c>
      <c r="K86" s="3" t="s">
        <v>45</v>
      </c>
      <c r="L86" s="3" t="s">
        <v>75</v>
      </c>
    </row>
    <row r="87" spans="1:12">
      <c r="A87" s="3" t="s">
        <v>160</v>
      </c>
      <c r="B87" s="4">
        <v>45782</v>
      </c>
      <c r="C87" s="3" t="s">
        <v>67</v>
      </c>
      <c r="D87" s="3" t="s">
        <v>68</v>
      </c>
      <c r="E87" s="3" t="s">
        <v>77</v>
      </c>
      <c r="F87" s="3" t="s">
        <v>69</v>
      </c>
      <c r="G87" s="3" t="s">
        <v>43</v>
      </c>
      <c r="H87" s="3" t="s">
        <v>52</v>
      </c>
      <c r="I87" s="5">
        <v>16532.05</v>
      </c>
      <c r="J87" s="5">
        <v>0</v>
      </c>
      <c r="K87" s="3" t="s">
        <v>45</v>
      </c>
      <c r="L87" s="3" t="s">
        <v>46</v>
      </c>
    </row>
    <row r="88" spans="1:12">
      <c r="A88" s="3" t="s">
        <v>161</v>
      </c>
      <c r="B88" s="4">
        <v>45955</v>
      </c>
      <c r="C88" s="3" t="s">
        <v>67</v>
      </c>
      <c r="D88" s="3" t="s">
        <v>68</v>
      </c>
      <c r="E88" s="3" t="s">
        <v>55</v>
      </c>
      <c r="F88" s="3" t="s">
        <v>56</v>
      </c>
      <c r="G88" s="3" t="s">
        <v>51</v>
      </c>
      <c r="H88" s="3" t="s">
        <v>78</v>
      </c>
      <c r="I88" s="5">
        <v>16816.5</v>
      </c>
      <c r="J88" s="5">
        <v>81.99</v>
      </c>
      <c r="K88" s="3" t="s">
        <v>45</v>
      </c>
      <c r="L88" s="3" t="s">
        <v>75</v>
      </c>
    </row>
    <row r="89" spans="1:12">
      <c r="A89" s="3" t="s">
        <v>162</v>
      </c>
      <c r="B89" s="4">
        <v>46104</v>
      </c>
      <c r="C89" s="3" t="s">
        <v>73</v>
      </c>
      <c r="D89" s="3" t="s">
        <v>74</v>
      </c>
      <c r="E89" s="3" t="s">
        <v>77</v>
      </c>
      <c r="F89" s="3" t="s">
        <v>50</v>
      </c>
      <c r="G89" s="3" t="s">
        <v>83</v>
      </c>
      <c r="H89" s="3" t="s">
        <v>61</v>
      </c>
      <c r="I89" s="5">
        <v>79269.17</v>
      </c>
      <c r="J89" s="5">
        <v>137.56</v>
      </c>
      <c r="K89" s="3" t="s">
        <v>45</v>
      </c>
      <c r="L89" s="3" t="s">
        <v>46</v>
      </c>
    </row>
    <row r="90" spans="1:12">
      <c r="A90" s="3" t="s">
        <v>163</v>
      </c>
      <c r="B90" s="4">
        <v>45917</v>
      </c>
      <c r="C90" s="3" t="s">
        <v>73</v>
      </c>
      <c r="D90" s="3" t="s">
        <v>74</v>
      </c>
      <c r="E90" s="3" t="s">
        <v>77</v>
      </c>
      <c r="F90" s="3" t="s">
        <v>69</v>
      </c>
      <c r="G90" s="3" t="s">
        <v>51</v>
      </c>
      <c r="H90" s="3" t="s">
        <v>30</v>
      </c>
      <c r="I90" s="5">
        <v>5908.11</v>
      </c>
      <c r="J90" s="5">
        <v>84.68</v>
      </c>
      <c r="K90" s="3" t="s">
        <v>45</v>
      </c>
      <c r="L90" s="3" t="s">
        <v>70</v>
      </c>
    </row>
    <row r="91" spans="1:12">
      <c r="A91" s="3" t="s">
        <v>164</v>
      </c>
      <c r="B91" s="4" t="s">
        <v>165</v>
      </c>
      <c r="C91" s="3" t="s">
        <v>48</v>
      </c>
      <c r="D91" s="3" t="s">
        <v>48</v>
      </c>
      <c r="E91" s="3" t="s">
        <v>49</v>
      </c>
      <c r="F91" s="3" t="s">
        <v>69</v>
      </c>
      <c r="G91" s="3" t="s">
        <v>43</v>
      </c>
      <c r="H91" s="3" t="s">
        <v>61</v>
      </c>
      <c r="I91" s="5">
        <v>50044.92</v>
      </c>
      <c r="J91" s="5">
        <v>0</v>
      </c>
      <c r="K91" s="3" t="s">
        <v>45</v>
      </c>
      <c r="L91" s="3" t="s">
        <v>65</v>
      </c>
    </row>
    <row r="92" spans="1:12">
      <c r="A92" s="3" t="s">
        <v>166</v>
      </c>
      <c r="B92" s="4">
        <v>46344</v>
      </c>
      <c r="C92" s="3" t="s">
        <v>48</v>
      </c>
      <c r="D92" s="3" t="s">
        <v>48</v>
      </c>
      <c r="E92" s="3" t="s">
        <v>64</v>
      </c>
      <c r="F92" s="3" t="s">
        <v>56</v>
      </c>
      <c r="G92" s="3" t="s">
        <v>51</v>
      </c>
      <c r="H92" s="3" t="s">
        <v>78</v>
      </c>
      <c r="I92" s="5">
        <v>29047.15</v>
      </c>
      <c r="J92" s="5">
        <v>38.83</v>
      </c>
      <c r="K92" s="3" t="s">
        <v>45</v>
      </c>
      <c r="L92" s="3" t="s">
        <v>70</v>
      </c>
    </row>
    <row r="93" spans="1:12">
      <c r="A93" s="3" t="s">
        <v>167</v>
      </c>
      <c r="B93" s="4">
        <v>45856</v>
      </c>
      <c r="C93" s="3" t="s">
        <v>48</v>
      </c>
      <c r="D93" s="3" t="s">
        <v>48</v>
      </c>
      <c r="E93" s="3" t="s">
        <v>64</v>
      </c>
      <c r="F93" s="3" t="s">
        <v>56</v>
      </c>
      <c r="G93" s="3" t="s">
        <v>60</v>
      </c>
      <c r="H93" s="3" t="s">
        <v>78</v>
      </c>
      <c r="I93" s="5">
        <v>30242.3</v>
      </c>
      <c r="J93" s="5">
        <v>0</v>
      </c>
      <c r="K93" s="3" t="s">
        <v>45</v>
      </c>
      <c r="L93" s="3" t="s">
        <v>70</v>
      </c>
    </row>
    <row r="94" spans="1:12">
      <c r="A94" s="3" t="s">
        <v>168</v>
      </c>
      <c r="B94" s="4">
        <v>45810</v>
      </c>
      <c r="C94" s="3" t="s">
        <v>67</v>
      </c>
      <c r="D94" s="3" t="s">
        <v>68</v>
      </c>
      <c r="E94" s="3" t="s">
        <v>55</v>
      </c>
      <c r="F94" s="3" t="s">
        <v>69</v>
      </c>
      <c r="G94" s="3" t="s">
        <v>43</v>
      </c>
      <c r="H94" s="3" t="s">
        <v>52</v>
      </c>
      <c r="I94" s="5">
        <v>82903.100000000006</v>
      </c>
      <c r="J94" s="5">
        <v>0</v>
      </c>
      <c r="K94" s="3" t="s">
        <v>45</v>
      </c>
      <c r="L94" s="3" t="s">
        <v>53</v>
      </c>
    </row>
    <row r="95" spans="1:12">
      <c r="A95" s="3" t="s">
        <v>169</v>
      </c>
      <c r="B95" s="4">
        <v>46259</v>
      </c>
      <c r="C95" s="3" t="s">
        <v>48</v>
      </c>
      <c r="D95" s="3" t="s">
        <v>48</v>
      </c>
      <c r="E95" s="3" t="s">
        <v>77</v>
      </c>
      <c r="F95" s="3" t="s">
        <v>56</v>
      </c>
      <c r="G95" s="3" t="s">
        <v>60</v>
      </c>
      <c r="H95" s="3" t="s">
        <v>52</v>
      </c>
      <c r="I95" s="5">
        <v>2835.52</v>
      </c>
      <c r="J95" s="5">
        <v>0</v>
      </c>
      <c r="K95" s="3" t="s">
        <v>45</v>
      </c>
      <c r="L95" s="3" t="s">
        <v>57</v>
      </c>
    </row>
    <row r="96" spans="1:12">
      <c r="A96" s="3" t="s">
        <v>170</v>
      </c>
      <c r="B96" s="4">
        <v>45908</v>
      </c>
      <c r="C96" s="3" t="s">
        <v>73</v>
      </c>
      <c r="D96" s="3" t="s">
        <v>74</v>
      </c>
      <c r="E96" s="3" t="s">
        <v>171</v>
      </c>
      <c r="F96" s="3" t="s">
        <v>69</v>
      </c>
      <c r="G96" s="3" t="s">
        <v>60</v>
      </c>
      <c r="H96" s="3" t="s">
        <v>52</v>
      </c>
      <c r="I96" s="5">
        <v>31213.89</v>
      </c>
      <c r="J96" s="5">
        <v>0</v>
      </c>
      <c r="K96" s="3" t="s">
        <v>84</v>
      </c>
      <c r="L96" s="3" t="s">
        <v>70</v>
      </c>
    </row>
    <row r="97" spans="1:12">
      <c r="A97" s="3" t="s">
        <v>172</v>
      </c>
      <c r="B97" s="4">
        <v>45944</v>
      </c>
      <c r="C97" s="3" t="s">
        <v>67</v>
      </c>
      <c r="D97" s="3" t="s">
        <v>68</v>
      </c>
      <c r="E97" s="3" t="s">
        <v>55</v>
      </c>
      <c r="F97" s="3" t="s">
        <v>50</v>
      </c>
      <c r="G97" s="3" t="s">
        <v>51</v>
      </c>
      <c r="H97" s="3" t="s">
        <v>30</v>
      </c>
      <c r="I97" s="5">
        <v>27406.6</v>
      </c>
      <c r="J97" s="5">
        <v>65.59</v>
      </c>
      <c r="K97" s="3" t="s">
        <v>84</v>
      </c>
      <c r="L97" s="3" t="s">
        <v>70</v>
      </c>
    </row>
    <row r="98" spans="1:12">
      <c r="A98" s="3" t="s">
        <v>173</v>
      </c>
      <c r="B98" s="4">
        <v>46361</v>
      </c>
      <c r="C98" s="3" t="s">
        <v>48</v>
      </c>
      <c r="D98" s="3" t="s">
        <v>48</v>
      </c>
      <c r="E98" s="3" t="s">
        <v>64</v>
      </c>
      <c r="F98" s="3" t="s">
        <v>56</v>
      </c>
      <c r="G98" s="3" t="s">
        <v>60</v>
      </c>
      <c r="H98" s="3" t="s">
        <v>30</v>
      </c>
      <c r="I98" s="5">
        <v>13297.31</v>
      </c>
      <c r="J98" s="5">
        <v>0</v>
      </c>
      <c r="K98" s="3" t="s">
        <v>45</v>
      </c>
      <c r="L98" s="3" t="s">
        <v>65</v>
      </c>
    </row>
    <row r="99" spans="1:12">
      <c r="A99" s="3" t="s">
        <v>174</v>
      </c>
      <c r="B99" s="4">
        <v>45895</v>
      </c>
      <c r="C99" s="3" t="s">
        <v>73</v>
      </c>
      <c r="D99" s="3" t="s">
        <v>74</v>
      </c>
      <c r="E99" s="3" t="s">
        <v>49</v>
      </c>
      <c r="F99" s="3" t="s">
        <v>56</v>
      </c>
      <c r="G99" s="3" t="s">
        <v>43</v>
      </c>
      <c r="H99" s="3" t="s">
        <v>78</v>
      </c>
      <c r="I99" s="5">
        <v>28728.02</v>
      </c>
      <c r="J99" s="5">
        <v>0</v>
      </c>
      <c r="K99" s="3" t="s">
        <v>45</v>
      </c>
      <c r="L99" s="3" t="s">
        <v>75</v>
      </c>
    </row>
    <row r="100" spans="1:12">
      <c r="A100" s="3" t="s">
        <v>175</v>
      </c>
      <c r="B100" s="4">
        <v>46000</v>
      </c>
      <c r="C100" s="3" t="s">
        <v>48</v>
      </c>
      <c r="D100" s="3" t="s">
        <v>48</v>
      </c>
      <c r="E100" s="3" t="s">
        <v>49</v>
      </c>
      <c r="F100" s="3" t="s">
        <v>56</v>
      </c>
      <c r="G100" s="3" t="s">
        <v>60</v>
      </c>
      <c r="H100" s="3" t="s">
        <v>61</v>
      </c>
      <c r="I100" s="5">
        <v>911.44</v>
      </c>
      <c r="J100" s="5">
        <v>0</v>
      </c>
      <c r="K100" s="3" t="s">
        <v>45</v>
      </c>
      <c r="L100" s="3" t="s">
        <v>65</v>
      </c>
    </row>
    <row r="101" spans="1:12">
      <c r="A101" s="3" t="s">
        <v>176</v>
      </c>
      <c r="B101" s="4">
        <v>46249</v>
      </c>
      <c r="C101" s="3" t="s">
        <v>73</v>
      </c>
      <c r="D101" s="3" t="s">
        <v>74</v>
      </c>
      <c r="E101" s="3" t="s">
        <v>55</v>
      </c>
      <c r="F101" s="3" t="s">
        <v>56</v>
      </c>
      <c r="G101" s="3" t="s">
        <v>43</v>
      </c>
      <c r="H101" s="3" t="s">
        <v>61</v>
      </c>
      <c r="I101" s="5">
        <v>26369.78</v>
      </c>
      <c r="J101" s="5">
        <v>0</v>
      </c>
      <c r="K101" s="3" t="s">
        <v>45</v>
      </c>
      <c r="L101" s="3" t="s">
        <v>75</v>
      </c>
    </row>
    <row r="102" spans="1:12">
      <c r="A102" s="3" t="s">
        <v>177</v>
      </c>
      <c r="B102" s="4">
        <v>45894</v>
      </c>
      <c r="C102" s="3" t="s">
        <v>40</v>
      </c>
      <c r="D102" s="3" t="s">
        <v>40</v>
      </c>
      <c r="E102" s="3" t="s">
        <v>49</v>
      </c>
      <c r="F102" s="3" t="s">
        <v>50</v>
      </c>
      <c r="G102" s="3" t="s">
        <v>51</v>
      </c>
      <c r="H102" s="3" t="s">
        <v>52</v>
      </c>
      <c r="I102" s="5">
        <v>27035.02</v>
      </c>
      <c r="J102" s="5">
        <v>75.41</v>
      </c>
      <c r="K102" s="3" t="s">
        <v>45</v>
      </c>
      <c r="L102" s="3" t="s">
        <v>75</v>
      </c>
    </row>
    <row r="103" spans="1:12">
      <c r="A103" s="3" t="s">
        <v>178</v>
      </c>
      <c r="B103" s="4">
        <v>45971</v>
      </c>
      <c r="C103" s="3" t="s">
        <v>40</v>
      </c>
      <c r="D103" s="3" t="s">
        <v>40</v>
      </c>
      <c r="E103" s="3" t="s">
        <v>64</v>
      </c>
      <c r="F103" s="3" t="s">
        <v>56</v>
      </c>
      <c r="G103" s="3" t="s">
        <v>83</v>
      </c>
      <c r="H103" s="3" t="s">
        <v>30</v>
      </c>
      <c r="I103" s="5">
        <v>126834.53</v>
      </c>
      <c r="J103" s="5">
        <v>90.94</v>
      </c>
      <c r="K103" s="3" t="s">
        <v>45</v>
      </c>
      <c r="L103" s="3" t="s">
        <v>75</v>
      </c>
    </row>
    <row r="104" spans="1:12">
      <c r="A104" s="3" t="s">
        <v>179</v>
      </c>
      <c r="B104" s="4">
        <v>46301</v>
      </c>
      <c r="C104" s="3" t="s">
        <v>48</v>
      </c>
      <c r="D104" s="3" t="s">
        <v>48</v>
      </c>
      <c r="E104" s="3" t="s">
        <v>55</v>
      </c>
      <c r="F104" s="3" t="s">
        <v>50</v>
      </c>
      <c r="G104" s="3" t="s">
        <v>43</v>
      </c>
      <c r="H104" s="3" t="s">
        <v>78</v>
      </c>
      <c r="I104" s="5">
        <v>72914.679999999993</v>
      </c>
      <c r="J104" s="5">
        <v>0</v>
      </c>
      <c r="K104" s="3" t="s">
        <v>45</v>
      </c>
      <c r="L104" s="3" t="s">
        <v>75</v>
      </c>
    </row>
    <row r="105" spans="1:12">
      <c r="A105" s="3" t="s">
        <v>180</v>
      </c>
      <c r="B105" s="4">
        <v>45793</v>
      </c>
      <c r="C105" s="3" t="s">
        <v>40</v>
      </c>
      <c r="D105" s="3" t="s">
        <v>40</v>
      </c>
      <c r="E105" s="3" t="s">
        <v>64</v>
      </c>
      <c r="F105" s="3" t="s">
        <v>69</v>
      </c>
      <c r="G105" s="3" t="s">
        <v>60</v>
      </c>
      <c r="H105" s="3" t="s">
        <v>61</v>
      </c>
      <c r="I105" s="5">
        <v>33348.17</v>
      </c>
      <c r="J105" s="5">
        <v>0</v>
      </c>
      <c r="K105" s="3" t="s">
        <v>45</v>
      </c>
      <c r="L105" s="3" t="s">
        <v>53</v>
      </c>
    </row>
    <row r="106" spans="1:12">
      <c r="A106" s="3" t="s">
        <v>181</v>
      </c>
      <c r="B106" s="4">
        <v>45674</v>
      </c>
      <c r="C106" s="3" t="s">
        <v>48</v>
      </c>
      <c r="D106" s="3" t="s">
        <v>48</v>
      </c>
      <c r="E106" s="3" t="s">
        <v>64</v>
      </c>
      <c r="F106" s="3" t="s">
        <v>56</v>
      </c>
      <c r="G106" s="3" t="s">
        <v>43</v>
      </c>
      <c r="H106" s="3" t="s">
        <v>61</v>
      </c>
      <c r="I106" s="5">
        <v>88857.93</v>
      </c>
      <c r="J106" s="5">
        <v>0</v>
      </c>
      <c r="K106" s="3" t="s">
        <v>45</v>
      </c>
      <c r="L106" s="3" t="s">
        <v>46</v>
      </c>
    </row>
    <row r="107" spans="1:12">
      <c r="A107" s="3" t="s">
        <v>182</v>
      </c>
      <c r="B107" s="4">
        <v>46255</v>
      </c>
      <c r="C107" s="3" t="s">
        <v>67</v>
      </c>
      <c r="D107" s="3" t="s">
        <v>68</v>
      </c>
      <c r="E107" s="3" t="s">
        <v>77</v>
      </c>
      <c r="F107" s="3" t="s">
        <v>69</v>
      </c>
      <c r="G107" s="3" t="s">
        <v>60</v>
      </c>
      <c r="H107" s="3" t="s">
        <v>78</v>
      </c>
      <c r="I107" s="5">
        <v>55352.93</v>
      </c>
      <c r="J107" s="5">
        <v>0</v>
      </c>
      <c r="K107" s="3" t="s">
        <v>45</v>
      </c>
      <c r="L107" s="3" t="s">
        <v>65</v>
      </c>
    </row>
    <row r="108" spans="1:12">
      <c r="A108" s="3" t="s">
        <v>183</v>
      </c>
      <c r="B108" s="4">
        <v>46005</v>
      </c>
      <c r="C108" s="3" t="s">
        <v>73</v>
      </c>
      <c r="D108" s="3" t="s">
        <v>74</v>
      </c>
      <c r="E108" s="3" t="s">
        <v>77</v>
      </c>
      <c r="F108" s="3" t="s">
        <v>50</v>
      </c>
      <c r="G108" s="3" t="s">
        <v>51</v>
      </c>
      <c r="H108" s="3" t="s">
        <v>44</v>
      </c>
      <c r="I108" s="5">
        <v>4457.42</v>
      </c>
      <c r="J108" s="5">
        <v>65.37</v>
      </c>
      <c r="K108" s="3" t="s">
        <v>45</v>
      </c>
      <c r="L108" s="3" t="s">
        <v>57</v>
      </c>
    </row>
    <row r="109" spans="1:12">
      <c r="A109" s="3" t="s">
        <v>184</v>
      </c>
      <c r="B109" s="4">
        <v>45726</v>
      </c>
      <c r="C109" s="3" t="s">
        <v>48</v>
      </c>
      <c r="D109" s="3" t="s">
        <v>48</v>
      </c>
      <c r="E109" s="3" t="s">
        <v>49</v>
      </c>
      <c r="F109" s="3" t="s">
        <v>50</v>
      </c>
      <c r="G109" s="3" t="s">
        <v>43</v>
      </c>
      <c r="H109" s="3" t="s">
        <v>78</v>
      </c>
      <c r="I109" s="5">
        <v>38241.89</v>
      </c>
      <c r="J109" s="5">
        <v>0</v>
      </c>
      <c r="K109" s="3" t="s">
        <v>45</v>
      </c>
      <c r="L109" s="3" t="s">
        <v>57</v>
      </c>
    </row>
    <row r="110" spans="1:12">
      <c r="A110" s="3" t="s">
        <v>185</v>
      </c>
      <c r="B110" s="4">
        <v>46250</v>
      </c>
      <c r="C110" s="3" t="s">
        <v>73</v>
      </c>
      <c r="D110" s="3" t="s">
        <v>74</v>
      </c>
      <c r="E110" s="3" t="s">
        <v>49</v>
      </c>
      <c r="F110" s="3" t="s">
        <v>50</v>
      </c>
      <c r="G110" s="3" t="s">
        <v>43</v>
      </c>
      <c r="H110" s="3" t="s">
        <v>52</v>
      </c>
      <c r="I110" s="5">
        <v>41010.78</v>
      </c>
      <c r="J110" s="5">
        <v>0</v>
      </c>
      <c r="K110" s="3" t="s">
        <v>45</v>
      </c>
      <c r="L110" s="3" t="s">
        <v>70</v>
      </c>
    </row>
    <row r="111" spans="1:12">
      <c r="A111" s="3" t="s">
        <v>186</v>
      </c>
      <c r="B111" s="4">
        <v>45987</v>
      </c>
      <c r="C111" s="3" t="s">
        <v>67</v>
      </c>
      <c r="D111" s="3" t="s">
        <v>68</v>
      </c>
      <c r="E111" s="3" t="s">
        <v>55</v>
      </c>
      <c r="F111" s="3" t="s">
        <v>50</v>
      </c>
      <c r="G111" s="3" t="s">
        <v>51</v>
      </c>
      <c r="H111" s="3" t="s">
        <v>52</v>
      </c>
      <c r="I111" s="5">
        <v>3220.48</v>
      </c>
      <c r="J111" s="5">
        <v>41.3</v>
      </c>
      <c r="K111" s="3" t="s">
        <v>45</v>
      </c>
      <c r="L111" s="3" t="s">
        <v>65</v>
      </c>
    </row>
    <row r="112" spans="1:12">
      <c r="A112" s="3" t="s">
        <v>187</v>
      </c>
      <c r="B112" s="4">
        <v>45850</v>
      </c>
      <c r="C112" s="3" t="s">
        <v>67</v>
      </c>
      <c r="D112" s="3" t="s">
        <v>68</v>
      </c>
      <c r="E112" s="3" t="s">
        <v>49</v>
      </c>
      <c r="F112" s="3" t="s">
        <v>50</v>
      </c>
      <c r="G112" s="3" t="s">
        <v>60</v>
      </c>
      <c r="H112" s="3" t="s">
        <v>52</v>
      </c>
      <c r="I112" s="5">
        <v>61747.81</v>
      </c>
      <c r="J112" s="5">
        <v>0</v>
      </c>
      <c r="K112" s="3" t="s">
        <v>45</v>
      </c>
      <c r="L112" s="3" t="s">
        <v>46</v>
      </c>
    </row>
    <row r="113" spans="1:12">
      <c r="A113" s="3" t="s">
        <v>188</v>
      </c>
      <c r="B113" s="4">
        <v>46354</v>
      </c>
      <c r="C113" s="3" t="s">
        <v>148</v>
      </c>
      <c r="D113" s="3" t="s">
        <v>48</v>
      </c>
      <c r="E113" s="3" t="s">
        <v>77</v>
      </c>
      <c r="F113" s="3" t="s">
        <v>56</v>
      </c>
      <c r="G113" s="3" t="s">
        <v>43</v>
      </c>
      <c r="H113" s="3" t="s">
        <v>30</v>
      </c>
      <c r="I113" s="5">
        <v>18615.73</v>
      </c>
      <c r="J113" s="5">
        <v>0</v>
      </c>
      <c r="K113" s="3" t="s">
        <v>45</v>
      </c>
      <c r="L113" s="3" t="s">
        <v>46</v>
      </c>
    </row>
    <row r="114" spans="1:12">
      <c r="A114" s="3" t="s">
        <v>189</v>
      </c>
      <c r="B114" s="4">
        <v>45823</v>
      </c>
      <c r="C114" s="3" t="s">
        <v>73</v>
      </c>
      <c r="D114" s="3" t="s">
        <v>74</v>
      </c>
      <c r="E114" s="3" t="s">
        <v>77</v>
      </c>
      <c r="F114" s="3" t="s">
        <v>50</v>
      </c>
      <c r="G114" s="3" t="s">
        <v>60</v>
      </c>
      <c r="H114" s="3" t="s">
        <v>30</v>
      </c>
      <c r="I114" s="5">
        <v>40295.75</v>
      </c>
      <c r="J114" s="5">
        <v>0</v>
      </c>
      <c r="K114" s="3" t="s">
        <v>45</v>
      </c>
      <c r="L114" s="3" t="s">
        <v>65</v>
      </c>
    </row>
    <row r="115" spans="1:12">
      <c r="A115" s="3" t="s">
        <v>190</v>
      </c>
      <c r="B115" s="4">
        <v>45815</v>
      </c>
      <c r="C115" s="3" t="s">
        <v>73</v>
      </c>
      <c r="D115" s="3" t="s">
        <v>74</v>
      </c>
      <c r="E115" s="3" t="s">
        <v>55</v>
      </c>
      <c r="F115" s="3" t="s">
        <v>69</v>
      </c>
      <c r="G115" s="3" t="s">
        <v>43</v>
      </c>
      <c r="H115" s="3" t="s">
        <v>61</v>
      </c>
      <c r="I115" s="5">
        <v>103738.38</v>
      </c>
      <c r="J115" s="5">
        <v>0</v>
      </c>
      <c r="K115" s="3" t="s">
        <v>45</v>
      </c>
      <c r="L115" s="3" t="s">
        <v>46</v>
      </c>
    </row>
    <row r="116" spans="1:12">
      <c r="A116" s="3" t="s">
        <v>191</v>
      </c>
      <c r="B116" s="4">
        <v>46288</v>
      </c>
      <c r="C116" s="3" t="s">
        <v>67</v>
      </c>
      <c r="D116" s="3" t="s">
        <v>68</v>
      </c>
      <c r="E116" s="3" t="s">
        <v>49</v>
      </c>
      <c r="F116" s="3" t="s">
        <v>69</v>
      </c>
      <c r="G116" s="3" t="s">
        <v>43</v>
      </c>
      <c r="H116" s="3" t="s">
        <v>30</v>
      </c>
      <c r="I116" s="5">
        <v>71252.66</v>
      </c>
      <c r="J116" s="5">
        <v>0</v>
      </c>
      <c r="K116" s="3" t="s">
        <v>45</v>
      </c>
      <c r="L116" s="3" t="s">
        <v>65</v>
      </c>
    </row>
    <row r="117" spans="1:12">
      <c r="A117" s="3" t="s">
        <v>192</v>
      </c>
      <c r="B117" s="4">
        <v>45684</v>
      </c>
      <c r="C117" s="3" t="s">
        <v>63</v>
      </c>
      <c r="D117" s="3" t="s">
        <v>63</v>
      </c>
      <c r="E117" s="3" t="s">
        <v>64</v>
      </c>
      <c r="F117" s="3" t="s">
        <v>56</v>
      </c>
      <c r="G117" s="3" t="s">
        <v>83</v>
      </c>
      <c r="H117" s="3" t="s">
        <v>61</v>
      </c>
      <c r="I117" s="5">
        <v>151625.26</v>
      </c>
      <c r="J117" s="5">
        <v>120.31</v>
      </c>
      <c r="K117" s="3" t="s">
        <v>45</v>
      </c>
      <c r="L117" s="3" t="s">
        <v>46</v>
      </c>
    </row>
    <row r="118" spans="1:12">
      <c r="A118" s="3" t="s">
        <v>193</v>
      </c>
      <c r="B118" s="4">
        <v>45719</v>
      </c>
      <c r="C118" s="3" t="s">
        <v>67</v>
      </c>
      <c r="D118" s="3" t="s">
        <v>68</v>
      </c>
      <c r="E118" s="3" t="s">
        <v>55</v>
      </c>
      <c r="F118" s="3" t="s">
        <v>56</v>
      </c>
      <c r="G118" s="3" t="s">
        <v>43</v>
      </c>
      <c r="H118" s="3" t="s">
        <v>78</v>
      </c>
      <c r="I118" s="5">
        <v>107986.7</v>
      </c>
      <c r="J118" s="5">
        <v>0</v>
      </c>
      <c r="K118" s="3" t="s">
        <v>45</v>
      </c>
      <c r="L118" s="3" t="s">
        <v>75</v>
      </c>
    </row>
    <row r="119" spans="1:12">
      <c r="A119" s="3" t="s">
        <v>194</v>
      </c>
      <c r="B119" s="4">
        <v>46025</v>
      </c>
      <c r="C119" s="3" t="s">
        <v>40</v>
      </c>
      <c r="D119" s="3" t="s">
        <v>40</v>
      </c>
      <c r="E119" s="3" t="s">
        <v>64</v>
      </c>
      <c r="F119" s="3" t="s">
        <v>56</v>
      </c>
      <c r="G119" s="3" t="s">
        <v>43</v>
      </c>
      <c r="H119" s="3" t="s">
        <v>78</v>
      </c>
      <c r="I119" s="5">
        <v>47896.44</v>
      </c>
      <c r="J119" s="5">
        <v>0</v>
      </c>
      <c r="K119" s="3" t="s">
        <v>45</v>
      </c>
      <c r="L119" s="3" t="s">
        <v>57</v>
      </c>
    </row>
    <row r="120" spans="1:12">
      <c r="A120" s="3" t="s">
        <v>195</v>
      </c>
      <c r="B120" s="4">
        <v>45792</v>
      </c>
      <c r="C120" s="3" t="s">
        <v>63</v>
      </c>
      <c r="D120" s="3" t="s">
        <v>63</v>
      </c>
      <c r="E120" s="3" t="s">
        <v>77</v>
      </c>
      <c r="F120" s="3" t="s">
        <v>56</v>
      </c>
      <c r="G120" s="3" t="s">
        <v>43</v>
      </c>
      <c r="H120" s="3" t="s">
        <v>30</v>
      </c>
      <c r="I120" s="5">
        <v>19652.439999999999</v>
      </c>
      <c r="J120" s="5">
        <v>0</v>
      </c>
      <c r="K120" s="3" t="s">
        <v>45</v>
      </c>
      <c r="L120" s="3" t="s">
        <v>65</v>
      </c>
    </row>
    <row r="121" spans="1:12">
      <c r="A121" s="3" t="s">
        <v>196</v>
      </c>
      <c r="B121" s="4">
        <v>45724</v>
      </c>
      <c r="C121" s="3" t="s">
        <v>67</v>
      </c>
      <c r="D121" s="3" t="s">
        <v>68</v>
      </c>
      <c r="E121" s="3" t="s">
        <v>49</v>
      </c>
      <c r="F121" s="3" t="s">
        <v>69</v>
      </c>
      <c r="G121" s="3" t="s">
        <v>60</v>
      </c>
      <c r="H121" s="3" t="s">
        <v>30</v>
      </c>
      <c r="I121" s="5">
        <v>18177.990000000002</v>
      </c>
      <c r="J121" s="5">
        <v>0</v>
      </c>
      <c r="K121" s="3" t="s">
        <v>45</v>
      </c>
      <c r="L121" s="3" t="s">
        <v>75</v>
      </c>
    </row>
    <row r="122" spans="1:12">
      <c r="A122" s="3" t="s">
        <v>197</v>
      </c>
      <c r="B122" s="4">
        <v>46210</v>
      </c>
      <c r="C122" s="3" t="s">
        <v>73</v>
      </c>
      <c r="D122" s="3" t="s">
        <v>74</v>
      </c>
      <c r="E122" s="3" t="s">
        <v>64</v>
      </c>
      <c r="F122" s="3" t="s">
        <v>50</v>
      </c>
      <c r="G122" s="3" t="s">
        <v>60</v>
      </c>
      <c r="H122" s="3" t="s">
        <v>30</v>
      </c>
      <c r="I122" s="5">
        <v>68364.740000000005</v>
      </c>
      <c r="J122" s="5">
        <v>0</v>
      </c>
      <c r="K122" s="3" t="s">
        <v>45</v>
      </c>
      <c r="L122" s="3" t="s">
        <v>46</v>
      </c>
    </row>
    <row r="123" spans="1:12">
      <c r="A123" s="3" t="s">
        <v>198</v>
      </c>
      <c r="B123" s="4">
        <v>45925</v>
      </c>
      <c r="C123" s="3" t="s">
        <v>67</v>
      </c>
      <c r="D123" s="3" t="s">
        <v>68</v>
      </c>
      <c r="E123" s="3" t="s">
        <v>77</v>
      </c>
      <c r="F123" s="3" t="s">
        <v>69</v>
      </c>
      <c r="G123" s="3" t="s">
        <v>51</v>
      </c>
      <c r="H123" s="3" t="s">
        <v>30</v>
      </c>
      <c r="I123" s="5">
        <v>2694.27</v>
      </c>
      <c r="J123" s="5">
        <v>69.52</v>
      </c>
      <c r="K123" s="3" t="s">
        <v>45</v>
      </c>
      <c r="L123" s="3" t="s">
        <v>75</v>
      </c>
    </row>
    <row r="124" spans="1:12">
      <c r="A124" s="3" t="s">
        <v>199</v>
      </c>
      <c r="B124" s="4">
        <v>45823</v>
      </c>
      <c r="C124" s="3" t="s">
        <v>40</v>
      </c>
      <c r="D124" s="3" t="s">
        <v>40</v>
      </c>
      <c r="E124" s="3" t="s">
        <v>55</v>
      </c>
      <c r="F124" s="3" t="s">
        <v>50</v>
      </c>
      <c r="G124" s="3" t="s">
        <v>51</v>
      </c>
      <c r="H124" s="3" t="s">
        <v>61</v>
      </c>
      <c r="I124" s="5">
        <v>28954.34</v>
      </c>
      <c r="J124" s="5">
        <v>98.27</v>
      </c>
      <c r="K124" s="3" t="s">
        <v>45</v>
      </c>
      <c r="L124" s="3" t="s">
        <v>65</v>
      </c>
    </row>
    <row r="125" spans="1:12">
      <c r="A125" s="3" t="s">
        <v>200</v>
      </c>
      <c r="B125" s="4">
        <v>46274</v>
      </c>
      <c r="C125" s="3" t="s">
        <v>73</v>
      </c>
      <c r="D125" s="3" t="s">
        <v>74</v>
      </c>
      <c r="E125" s="3" t="s">
        <v>49</v>
      </c>
      <c r="F125" s="3" t="s">
        <v>56</v>
      </c>
      <c r="G125" s="3" t="s">
        <v>83</v>
      </c>
      <c r="H125" s="3" t="s">
        <v>78</v>
      </c>
      <c r="I125" s="5">
        <v>43334.879999999997</v>
      </c>
      <c r="J125" s="5">
        <v>44.82</v>
      </c>
      <c r="K125" s="3" t="s">
        <v>45</v>
      </c>
      <c r="L125" s="3" t="s">
        <v>57</v>
      </c>
    </row>
    <row r="126" spans="1:12">
      <c r="A126" s="3" t="s">
        <v>201</v>
      </c>
      <c r="B126" s="4">
        <v>45819</v>
      </c>
      <c r="C126" s="3" t="s">
        <v>40</v>
      </c>
      <c r="D126" s="3" t="s">
        <v>40</v>
      </c>
      <c r="E126" s="3" t="s">
        <v>49</v>
      </c>
      <c r="F126" s="3" t="s">
        <v>69</v>
      </c>
      <c r="G126" s="3" t="s">
        <v>51</v>
      </c>
      <c r="H126" s="3" t="s">
        <v>30</v>
      </c>
      <c r="I126" s="5">
        <v>2449.94</v>
      </c>
      <c r="J126" s="5">
        <v>56.51</v>
      </c>
      <c r="K126" s="3" t="s">
        <v>45</v>
      </c>
      <c r="L126" s="3" t="s">
        <v>57</v>
      </c>
    </row>
    <row r="127" spans="1:12">
      <c r="A127" s="3" t="s">
        <v>202</v>
      </c>
      <c r="B127" s="4">
        <v>45903</v>
      </c>
      <c r="C127" s="3" t="s">
        <v>63</v>
      </c>
      <c r="D127" s="3" t="s">
        <v>63</v>
      </c>
      <c r="E127" s="3" t="s">
        <v>49</v>
      </c>
      <c r="F127" s="3" t="s">
        <v>50</v>
      </c>
      <c r="G127" s="3" t="s">
        <v>60</v>
      </c>
      <c r="H127" s="3" t="s">
        <v>30</v>
      </c>
      <c r="I127" s="5">
        <v>52758.02</v>
      </c>
      <c r="J127" s="5">
        <v>0</v>
      </c>
      <c r="K127" s="3" t="s">
        <v>45</v>
      </c>
      <c r="L127" s="3" t="s">
        <v>75</v>
      </c>
    </row>
    <row r="128" spans="1:12">
      <c r="A128" s="3" t="s">
        <v>203</v>
      </c>
      <c r="B128" s="4">
        <v>46083</v>
      </c>
      <c r="C128" s="3" t="s">
        <v>63</v>
      </c>
      <c r="D128" s="3" t="s">
        <v>63</v>
      </c>
      <c r="E128" s="3" t="s">
        <v>64</v>
      </c>
      <c r="F128" s="3" t="s">
        <v>56</v>
      </c>
      <c r="G128" s="3" t="s">
        <v>43</v>
      </c>
      <c r="H128" s="3" t="s">
        <v>30</v>
      </c>
      <c r="I128" s="5">
        <v>64030.65</v>
      </c>
      <c r="J128" s="5">
        <v>0</v>
      </c>
      <c r="K128" s="3" t="s">
        <v>45</v>
      </c>
      <c r="L128" s="3" t="s">
        <v>65</v>
      </c>
    </row>
    <row r="129" spans="1:12">
      <c r="A129" s="3" t="s">
        <v>204</v>
      </c>
      <c r="B129" s="4">
        <v>45667</v>
      </c>
      <c r="C129" s="3" t="s">
        <v>67</v>
      </c>
      <c r="D129" s="3" t="s">
        <v>68</v>
      </c>
      <c r="E129" s="3" t="s">
        <v>49</v>
      </c>
      <c r="F129" s="3" t="s">
        <v>56</v>
      </c>
      <c r="G129" s="3" t="s">
        <v>60</v>
      </c>
      <c r="H129" s="3" t="s">
        <v>52</v>
      </c>
      <c r="I129" s="5">
        <v>35955.99</v>
      </c>
      <c r="J129" s="5">
        <v>0</v>
      </c>
      <c r="K129" s="3" t="s">
        <v>45</v>
      </c>
      <c r="L129" s="3" t="s">
        <v>70</v>
      </c>
    </row>
    <row r="130" spans="1:12">
      <c r="A130" s="3" t="s">
        <v>205</v>
      </c>
      <c r="B130" s="4">
        <v>45763</v>
      </c>
      <c r="C130" s="3" t="s">
        <v>48</v>
      </c>
      <c r="D130" s="3" t="s">
        <v>48</v>
      </c>
      <c r="E130" s="3" t="s">
        <v>49</v>
      </c>
      <c r="F130" s="3" t="s">
        <v>50</v>
      </c>
      <c r="G130" s="3" t="s">
        <v>83</v>
      </c>
      <c r="H130" s="3" t="s">
        <v>30</v>
      </c>
      <c r="I130" s="5">
        <v>169554.05</v>
      </c>
      <c r="J130" s="5">
        <v>120.97</v>
      </c>
      <c r="K130" s="3" t="s">
        <v>45</v>
      </c>
      <c r="L130" s="3" t="s">
        <v>75</v>
      </c>
    </row>
    <row r="131" spans="1:12">
      <c r="A131" s="3" t="s">
        <v>206</v>
      </c>
      <c r="B131" s="4">
        <v>46329</v>
      </c>
      <c r="C131" s="3" t="s">
        <v>67</v>
      </c>
      <c r="D131" s="3" t="s">
        <v>68</v>
      </c>
      <c r="E131" s="3" t="s">
        <v>55</v>
      </c>
      <c r="F131" s="3" t="s">
        <v>56</v>
      </c>
      <c r="G131" s="3" t="s">
        <v>60</v>
      </c>
      <c r="H131" s="3" t="s">
        <v>61</v>
      </c>
      <c r="I131" s="5">
        <v>66423.600000000006</v>
      </c>
      <c r="J131" s="5">
        <v>0</v>
      </c>
      <c r="K131" s="3" t="s">
        <v>45</v>
      </c>
      <c r="L131" s="3" t="s">
        <v>57</v>
      </c>
    </row>
    <row r="132" spans="1:12">
      <c r="A132" s="3" t="s">
        <v>207</v>
      </c>
      <c r="B132" s="4">
        <v>45952</v>
      </c>
      <c r="C132" s="3" t="s">
        <v>67</v>
      </c>
      <c r="D132" s="3" t="s">
        <v>68</v>
      </c>
      <c r="E132" s="3" t="s">
        <v>55</v>
      </c>
      <c r="F132" s="3" t="s">
        <v>56</v>
      </c>
      <c r="G132" s="3" t="s">
        <v>60</v>
      </c>
      <c r="H132" s="3" t="s">
        <v>52</v>
      </c>
      <c r="I132" s="5">
        <v>20835.66</v>
      </c>
      <c r="J132" s="5">
        <v>0</v>
      </c>
      <c r="K132" s="3" t="s">
        <v>45</v>
      </c>
      <c r="L132" s="3" t="s">
        <v>75</v>
      </c>
    </row>
    <row r="133" spans="1:12">
      <c r="A133" s="3" t="s">
        <v>208</v>
      </c>
      <c r="B133" s="4">
        <v>45695</v>
      </c>
      <c r="C133" s="3" t="s">
        <v>63</v>
      </c>
      <c r="D133" s="3" t="s">
        <v>63</v>
      </c>
      <c r="E133" s="3" t="s">
        <v>64</v>
      </c>
      <c r="F133" s="3" t="s">
        <v>69</v>
      </c>
      <c r="G133" s="3" t="s">
        <v>60</v>
      </c>
      <c r="H133" s="3" t="s">
        <v>52</v>
      </c>
      <c r="I133" s="5">
        <v>12820.5</v>
      </c>
      <c r="J133" s="5">
        <v>0</v>
      </c>
      <c r="K133" s="3" t="s">
        <v>45</v>
      </c>
      <c r="L133" s="3" t="s">
        <v>57</v>
      </c>
    </row>
    <row r="134" spans="1:12">
      <c r="A134" s="3" t="s">
        <v>209</v>
      </c>
      <c r="B134" s="4">
        <v>46102</v>
      </c>
      <c r="C134" s="3" t="s">
        <v>48</v>
      </c>
      <c r="D134" s="3" t="s">
        <v>48</v>
      </c>
      <c r="E134" s="3" t="s">
        <v>64</v>
      </c>
      <c r="F134" s="3" t="s">
        <v>56</v>
      </c>
      <c r="G134" s="3" t="s">
        <v>43</v>
      </c>
      <c r="H134" s="3" t="s">
        <v>61</v>
      </c>
      <c r="I134" s="5">
        <v>106097.96</v>
      </c>
      <c r="J134" s="5">
        <v>0</v>
      </c>
      <c r="K134" s="3" t="s">
        <v>45</v>
      </c>
      <c r="L134" s="3" t="s">
        <v>57</v>
      </c>
    </row>
    <row r="135" spans="1:12">
      <c r="A135" s="3" t="s">
        <v>210</v>
      </c>
      <c r="B135" s="4">
        <v>45809</v>
      </c>
      <c r="C135" s="3" t="s">
        <v>67</v>
      </c>
      <c r="D135" s="3" t="s">
        <v>68</v>
      </c>
      <c r="E135" s="3" t="s">
        <v>64</v>
      </c>
      <c r="F135" s="3" t="s">
        <v>69</v>
      </c>
      <c r="G135" s="3" t="s">
        <v>43</v>
      </c>
      <c r="H135" s="3" t="s">
        <v>61</v>
      </c>
      <c r="I135" s="5">
        <v>45589.35</v>
      </c>
      <c r="J135" s="5">
        <v>0</v>
      </c>
      <c r="K135" s="3" t="s">
        <v>45</v>
      </c>
      <c r="L135" s="3" t="s">
        <v>46</v>
      </c>
    </row>
    <row r="136" spans="1:12">
      <c r="A136" s="3" t="s">
        <v>211</v>
      </c>
      <c r="B136" s="4">
        <v>45676</v>
      </c>
      <c r="C136" s="3" t="s">
        <v>73</v>
      </c>
      <c r="D136" s="3" t="s">
        <v>74</v>
      </c>
      <c r="E136" s="3" t="s">
        <v>49</v>
      </c>
      <c r="F136" s="3" t="s">
        <v>212</v>
      </c>
      <c r="G136" s="3" t="s">
        <v>83</v>
      </c>
      <c r="H136" s="3" t="s">
        <v>52</v>
      </c>
      <c r="I136" s="5">
        <v>103696.6</v>
      </c>
      <c r="J136" s="5">
        <v>98.66</v>
      </c>
      <c r="K136" s="3" t="s">
        <v>45</v>
      </c>
      <c r="L136" s="3" t="s">
        <v>75</v>
      </c>
    </row>
    <row r="137" spans="1:12">
      <c r="A137" s="3" t="s">
        <v>213</v>
      </c>
      <c r="B137" s="4">
        <v>46167</v>
      </c>
      <c r="C137" s="3" t="s">
        <v>63</v>
      </c>
      <c r="D137" s="3" t="s">
        <v>63</v>
      </c>
      <c r="E137" s="3" t="s">
        <v>49</v>
      </c>
      <c r="F137" s="3" t="s">
        <v>50</v>
      </c>
      <c r="G137" s="3" t="s">
        <v>43</v>
      </c>
      <c r="H137" s="3" t="s">
        <v>61</v>
      </c>
      <c r="I137" s="5">
        <v>40789.449999999997</v>
      </c>
      <c r="J137" s="5">
        <v>0</v>
      </c>
      <c r="K137" s="3" t="s">
        <v>45</v>
      </c>
      <c r="L137" s="3" t="s">
        <v>46</v>
      </c>
    </row>
    <row r="138" spans="1:12">
      <c r="A138" s="3" t="s">
        <v>214</v>
      </c>
      <c r="B138" s="4">
        <v>45878</v>
      </c>
      <c r="C138" s="3" t="s">
        <v>67</v>
      </c>
      <c r="D138" s="3" t="s">
        <v>68</v>
      </c>
      <c r="E138" s="3" t="s">
        <v>49</v>
      </c>
      <c r="F138" s="3" t="s">
        <v>69</v>
      </c>
      <c r="G138" s="3" t="s">
        <v>43</v>
      </c>
      <c r="H138" s="3" t="s">
        <v>52</v>
      </c>
      <c r="I138" s="5">
        <v>34949.879999999997</v>
      </c>
      <c r="J138" s="5">
        <v>0</v>
      </c>
      <c r="K138" s="3" t="s">
        <v>45</v>
      </c>
      <c r="L138" s="3" t="s">
        <v>53</v>
      </c>
    </row>
    <row r="139" spans="1:12">
      <c r="A139" s="3" t="s">
        <v>215</v>
      </c>
      <c r="B139" s="4">
        <v>46017</v>
      </c>
      <c r="C139" s="3" t="s">
        <v>48</v>
      </c>
      <c r="D139" s="3" t="s">
        <v>48</v>
      </c>
      <c r="E139" s="3" t="s">
        <v>77</v>
      </c>
      <c r="F139" s="3" t="s">
        <v>56</v>
      </c>
      <c r="G139" s="3" t="s">
        <v>60</v>
      </c>
      <c r="H139" s="3" t="s">
        <v>61</v>
      </c>
      <c r="I139" s="5">
        <v>1407.54</v>
      </c>
      <c r="J139" s="5">
        <v>0</v>
      </c>
      <c r="K139" s="3" t="s">
        <v>45</v>
      </c>
      <c r="L139" s="3" t="s">
        <v>70</v>
      </c>
    </row>
    <row r="140" spans="1:12">
      <c r="A140" s="3" t="s">
        <v>216</v>
      </c>
      <c r="B140" s="4">
        <v>46054</v>
      </c>
      <c r="C140" s="3" t="s">
        <v>40</v>
      </c>
      <c r="D140" s="3" t="s">
        <v>40</v>
      </c>
      <c r="E140" s="3" t="s">
        <v>49</v>
      </c>
      <c r="F140" s="3" t="s">
        <v>50</v>
      </c>
      <c r="G140" s="3" t="s">
        <v>83</v>
      </c>
      <c r="H140" s="3" t="s">
        <v>78</v>
      </c>
      <c r="I140" s="5">
        <v>112376.09</v>
      </c>
      <c r="J140" s="5">
        <v>34.75</v>
      </c>
      <c r="K140" s="3" t="s">
        <v>45</v>
      </c>
      <c r="L140" s="3" t="s">
        <v>70</v>
      </c>
    </row>
    <row r="141" spans="1:12">
      <c r="A141" s="3" t="s">
        <v>217</v>
      </c>
      <c r="B141" s="4">
        <v>45992</v>
      </c>
      <c r="C141" s="3" t="s">
        <v>48</v>
      </c>
      <c r="D141" s="3" t="s">
        <v>48</v>
      </c>
      <c r="E141" s="3" t="s">
        <v>49</v>
      </c>
      <c r="F141" s="3" t="s">
        <v>50</v>
      </c>
      <c r="G141" s="3" t="s">
        <v>43</v>
      </c>
      <c r="H141" s="3" t="s">
        <v>78</v>
      </c>
      <c r="I141" s="5">
        <v>97556.89</v>
      </c>
      <c r="J141" s="5">
        <v>0</v>
      </c>
      <c r="K141" s="3" t="s">
        <v>45</v>
      </c>
      <c r="L141" s="3" t="s">
        <v>57</v>
      </c>
    </row>
    <row r="142" spans="1:12">
      <c r="A142" s="3" t="s">
        <v>218</v>
      </c>
      <c r="B142" s="4">
        <v>45888</v>
      </c>
      <c r="C142" s="3" t="s">
        <v>40</v>
      </c>
      <c r="D142" s="3" t="s">
        <v>40</v>
      </c>
      <c r="E142" s="3" t="s">
        <v>64</v>
      </c>
      <c r="F142" s="3" t="s">
        <v>69</v>
      </c>
      <c r="G142" s="3" t="s">
        <v>60</v>
      </c>
      <c r="H142" s="3" t="s">
        <v>78</v>
      </c>
      <c r="I142" s="5">
        <v>16816.71</v>
      </c>
      <c r="J142" s="5">
        <v>0</v>
      </c>
      <c r="K142" s="3" t="s">
        <v>45</v>
      </c>
      <c r="L142" s="3" t="s">
        <v>46</v>
      </c>
    </row>
    <row r="143" spans="1:12">
      <c r="A143" s="3" t="s">
        <v>219</v>
      </c>
      <c r="B143" s="4">
        <v>46054</v>
      </c>
      <c r="C143" s="3" t="s">
        <v>48</v>
      </c>
      <c r="D143" s="3" t="s">
        <v>48</v>
      </c>
      <c r="E143" s="3"/>
      <c r="F143" s="3" t="s">
        <v>50</v>
      </c>
      <c r="G143" s="3" t="s">
        <v>51</v>
      </c>
      <c r="H143" s="3" t="s">
        <v>61</v>
      </c>
      <c r="I143" s="5">
        <v>9156.57</v>
      </c>
      <c r="J143" s="5">
        <v>74.45</v>
      </c>
      <c r="K143" s="3" t="s">
        <v>45</v>
      </c>
      <c r="L143" s="3" t="s">
        <v>57</v>
      </c>
    </row>
    <row r="144" spans="1:12">
      <c r="A144" s="3" t="s">
        <v>220</v>
      </c>
      <c r="B144" s="4">
        <v>45742</v>
      </c>
      <c r="C144" s="3" t="s">
        <v>73</v>
      </c>
      <c r="D144" s="3" t="s">
        <v>74</v>
      </c>
      <c r="E144" s="3" t="s">
        <v>55</v>
      </c>
      <c r="F144" s="3" t="s">
        <v>56</v>
      </c>
      <c r="G144" s="3" t="s">
        <v>43</v>
      </c>
      <c r="H144" s="3" t="s">
        <v>61</v>
      </c>
      <c r="I144" s="5">
        <v>55216.89</v>
      </c>
      <c r="J144" s="5">
        <v>0</v>
      </c>
      <c r="K144" s="3" t="s">
        <v>45</v>
      </c>
      <c r="L144" s="3" t="s">
        <v>46</v>
      </c>
    </row>
    <row r="145" spans="1:12">
      <c r="A145" s="3" t="s">
        <v>221</v>
      </c>
      <c r="B145" s="4">
        <v>45940</v>
      </c>
      <c r="C145" s="3" t="s">
        <v>67</v>
      </c>
      <c r="D145" s="3" t="s">
        <v>68</v>
      </c>
      <c r="E145" s="3" t="s">
        <v>55</v>
      </c>
      <c r="F145" s="3" t="s">
        <v>69</v>
      </c>
      <c r="G145" s="3" t="s">
        <v>83</v>
      </c>
      <c r="H145" s="3" t="s">
        <v>61</v>
      </c>
      <c r="I145" s="5">
        <v>16703.68</v>
      </c>
      <c r="J145" s="5">
        <v>85.37</v>
      </c>
      <c r="K145" s="3" t="s">
        <v>45</v>
      </c>
      <c r="L145" s="3" t="s">
        <v>46</v>
      </c>
    </row>
    <row r="146" spans="1:12">
      <c r="A146" s="3" t="s">
        <v>222</v>
      </c>
      <c r="B146" s="4">
        <v>46124</v>
      </c>
      <c r="C146" s="3" t="s">
        <v>40</v>
      </c>
      <c r="D146" s="3" t="s">
        <v>40</v>
      </c>
      <c r="E146" s="3" t="s">
        <v>64</v>
      </c>
      <c r="F146" s="3" t="s">
        <v>50</v>
      </c>
      <c r="G146" s="3" t="s">
        <v>83</v>
      </c>
      <c r="H146" s="3" t="s">
        <v>78</v>
      </c>
      <c r="I146" s="5">
        <v>136433.65</v>
      </c>
      <c r="J146" s="5">
        <v>125.59</v>
      </c>
      <c r="K146" s="3" t="s">
        <v>45</v>
      </c>
      <c r="L146" s="3" t="s">
        <v>70</v>
      </c>
    </row>
    <row r="147" spans="1:12">
      <c r="A147" s="3" t="s">
        <v>223</v>
      </c>
      <c r="B147" s="4">
        <v>45918</v>
      </c>
      <c r="C147" s="3" t="s">
        <v>73</v>
      </c>
      <c r="D147" s="3" t="s">
        <v>74</v>
      </c>
      <c r="E147" s="3" t="s">
        <v>55</v>
      </c>
      <c r="F147" s="3" t="s">
        <v>50</v>
      </c>
      <c r="G147" s="3" t="s">
        <v>60</v>
      </c>
      <c r="H147" s="3" t="s">
        <v>78</v>
      </c>
      <c r="I147" s="5">
        <v>63095.7</v>
      </c>
      <c r="J147" s="5">
        <v>0</v>
      </c>
      <c r="K147" s="3" t="s">
        <v>45</v>
      </c>
      <c r="L147" s="3" t="s">
        <v>53</v>
      </c>
    </row>
    <row r="148" spans="1:12">
      <c r="A148" s="3" t="s">
        <v>224</v>
      </c>
      <c r="B148" s="4">
        <v>45760</v>
      </c>
      <c r="C148" s="3" t="s">
        <v>48</v>
      </c>
      <c r="D148" s="3" t="s">
        <v>48</v>
      </c>
      <c r="E148" s="3" t="s">
        <v>64</v>
      </c>
      <c r="F148" s="3" t="s">
        <v>69</v>
      </c>
      <c r="G148" s="3" t="s">
        <v>43</v>
      </c>
      <c r="H148" s="3" t="s">
        <v>61</v>
      </c>
      <c r="I148" s="5">
        <v>102229.95</v>
      </c>
      <c r="J148" s="5">
        <v>0</v>
      </c>
      <c r="K148" s="3" t="s">
        <v>45</v>
      </c>
      <c r="L148" s="3" t="s">
        <v>75</v>
      </c>
    </row>
    <row r="149" spans="1:12">
      <c r="A149" s="3" t="s">
        <v>225</v>
      </c>
      <c r="B149" s="4">
        <v>46055</v>
      </c>
      <c r="C149" s="3" t="s">
        <v>63</v>
      </c>
      <c r="D149" s="3" t="s">
        <v>63</v>
      </c>
      <c r="E149" s="3" t="s">
        <v>55</v>
      </c>
      <c r="F149" s="3" t="s">
        <v>50</v>
      </c>
      <c r="G149" s="3" t="s">
        <v>83</v>
      </c>
      <c r="H149" s="3" t="s">
        <v>78</v>
      </c>
      <c r="I149" s="5">
        <v>86941.82</v>
      </c>
      <c r="J149" s="5">
        <v>72.31</v>
      </c>
      <c r="K149" s="3" t="s">
        <v>84</v>
      </c>
      <c r="L149" s="3" t="s">
        <v>75</v>
      </c>
    </row>
    <row r="150" spans="1:12">
      <c r="A150" s="3" t="s">
        <v>226</v>
      </c>
      <c r="B150" s="4">
        <v>45956</v>
      </c>
      <c r="C150" s="3" t="s">
        <v>39</v>
      </c>
      <c r="D150" s="3" t="s">
        <v>40</v>
      </c>
      <c r="E150" s="3" t="s">
        <v>64</v>
      </c>
      <c r="F150" s="3" t="s">
        <v>69</v>
      </c>
      <c r="G150" s="3" t="s">
        <v>60</v>
      </c>
      <c r="H150" s="3" t="s">
        <v>78</v>
      </c>
      <c r="I150" s="5">
        <v>24672.23</v>
      </c>
      <c r="J150" s="5">
        <v>0</v>
      </c>
      <c r="K150" s="3" t="s">
        <v>45</v>
      </c>
      <c r="L150" s="3" t="s">
        <v>65</v>
      </c>
    </row>
    <row r="151" spans="1:12">
      <c r="A151" s="3" t="s">
        <v>227</v>
      </c>
      <c r="B151" s="4">
        <v>45877</v>
      </c>
      <c r="C151" s="3" t="s">
        <v>40</v>
      </c>
      <c r="D151" s="3" t="s">
        <v>40</v>
      </c>
      <c r="E151" s="3" t="s">
        <v>55</v>
      </c>
      <c r="F151" s="3" t="s">
        <v>50</v>
      </c>
      <c r="G151" s="3" t="s">
        <v>43</v>
      </c>
      <c r="H151" s="3" t="s">
        <v>78</v>
      </c>
      <c r="I151" s="5">
        <v>42431.86</v>
      </c>
      <c r="J151" s="5">
        <v>0</v>
      </c>
      <c r="K151" s="3" t="s">
        <v>45</v>
      </c>
      <c r="L151" s="3" t="s">
        <v>65</v>
      </c>
    </row>
    <row r="152" spans="1:12">
      <c r="A152" s="3" t="s">
        <v>228</v>
      </c>
      <c r="B152" s="4">
        <v>46066</v>
      </c>
      <c r="C152" s="3" t="s">
        <v>63</v>
      </c>
      <c r="D152" s="3" t="s">
        <v>63</v>
      </c>
      <c r="E152" s="3" t="s">
        <v>55</v>
      </c>
      <c r="F152" s="3" t="s">
        <v>69</v>
      </c>
      <c r="G152" s="3" t="s">
        <v>60</v>
      </c>
      <c r="H152" s="3" t="s">
        <v>52</v>
      </c>
      <c r="I152" s="5">
        <v>33354</v>
      </c>
      <c r="J152" s="5">
        <v>0</v>
      </c>
      <c r="K152" s="3" t="s">
        <v>45</v>
      </c>
      <c r="L152" s="3" t="s">
        <v>75</v>
      </c>
    </row>
    <row r="153" spans="1:12">
      <c r="A153" s="3" t="s">
        <v>229</v>
      </c>
      <c r="B153" s="4">
        <v>45914</v>
      </c>
      <c r="C153" s="3" t="s">
        <v>63</v>
      </c>
      <c r="D153" s="3" t="s">
        <v>63</v>
      </c>
      <c r="E153" s="3" t="s">
        <v>55</v>
      </c>
      <c r="F153" s="3" t="s">
        <v>56</v>
      </c>
      <c r="G153" s="3" t="s">
        <v>43</v>
      </c>
      <c r="H153" s="3" t="s">
        <v>78</v>
      </c>
      <c r="I153" s="5">
        <v>63298.76</v>
      </c>
      <c r="J153" s="5">
        <v>0</v>
      </c>
      <c r="K153" s="3" t="s">
        <v>84</v>
      </c>
      <c r="L153" s="3" t="s">
        <v>53</v>
      </c>
    </row>
    <row r="154" spans="1:12">
      <c r="A154" s="3" t="s">
        <v>230</v>
      </c>
      <c r="B154" s="4">
        <v>46015</v>
      </c>
      <c r="C154" s="3" t="s">
        <v>63</v>
      </c>
      <c r="D154" s="3" t="s">
        <v>63</v>
      </c>
      <c r="E154" s="3" t="s">
        <v>77</v>
      </c>
      <c r="F154" s="3" t="s">
        <v>69</v>
      </c>
      <c r="G154" s="3" t="s">
        <v>51</v>
      </c>
      <c r="H154" s="3" t="s">
        <v>61</v>
      </c>
      <c r="I154" s="5">
        <v>27422.79</v>
      </c>
      <c r="J154" s="5">
        <v>69.42</v>
      </c>
      <c r="K154" s="3" t="s">
        <v>45</v>
      </c>
      <c r="L154" s="3" t="s">
        <v>53</v>
      </c>
    </row>
    <row r="155" spans="1:12">
      <c r="A155" s="3" t="s">
        <v>231</v>
      </c>
      <c r="B155" s="4">
        <v>46176</v>
      </c>
      <c r="C155" s="3" t="s">
        <v>63</v>
      </c>
      <c r="D155" s="3" t="s">
        <v>63</v>
      </c>
      <c r="E155" s="3" t="s">
        <v>49</v>
      </c>
      <c r="F155" s="3" t="s">
        <v>69</v>
      </c>
      <c r="G155" s="3" t="s">
        <v>83</v>
      </c>
      <c r="H155" s="3" t="s">
        <v>52</v>
      </c>
      <c r="I155" s="5">
        <v>60992.93</v>
      </c>
      <c r="J155" s="5">
        <v>108.84</v>
      </c>
      <c r="K155" s="3" t="s">
        <v>45</v>
      </c>
      <c r="L155" s="3" t="s">
        <v>70</v>
      </c>
    </row>
    <row r="156" spans="1:12">
      <c r="A156" s="3" t="s">
        <v>232</v>
      </c>
      <c r="B156" s="4">
        <v>45859</v>
      </c>
      <c r="C156" s="3" t="s">
        <v>48</v>
      </c>
      <c r="D156" s="3" t="s">
        <v>48</v>
      </c>
      <c r="E156" s="3" t="s">
        <v>77</v>
      </c>
      <c r="F156" s="3" t="s">
        <v>56</v>
      </c>
      <c r="G156" s="3" t="s">
        <v>51</v>
      </c>
      <c r="H156" s="3" t="s">
        <v>30</v>
      </c>
      <c r="I156" s="5">
        <v>15456.24</v>
      </c>
      <c r="J156" s="5">
        <v>18.32</v>
      </c>
      <c r="K156" s="3" t="s">
        <v>45</v>
      </c>
      <c r="L156" s="3" t="s">
        <v>65</v>
      </c>
    </row>
    <row r="157" spans="1:12">
      <c r="A157" s="3" t="s">
        <v>233</v>
      </c>
      <c r="B157" s="4">
        <v>45725</v>
      </c>
      <c r="C157" s="3" t="s">
        <v>48</v>
      </c>
      <c r="D157" s="3" t="s">
        <v>48</v>
      </c>
      <c r="E157" s="3" t="s">
        <v>64</v>
      </c>
      <c r="F157" s="3" t="s">
        <v>56</v>
      </c>
      <c r="G157" s="3" t="s">
        <v>43</v>
      </c>
      <c r="H157" s="3" t="s">
        <v>78</v>
      </c>
      <c r="I157" s="5">
        <v>29890.39</v>
      </c>
      <c r="J157" s="5">
        <v>0</v>
      </c>
      <c r="K157" s="3" t="s">
        <v>45</v>
      </c>
      <c r="L157" s="3" t="s">
        <v>57</v>
      </c>
    </row>
    <row r="158" spans="1:12">
      <c r="A158" s="3" t="s">
        <v>234</v>
      </c>
      <c r="B158" s="4">
        <v>46117</v>
      </c>
      <c r="C158" s="3" t="s">
        <v>40</v>
      </c>
      <c r="D158" s="3" t="s">
        <v>40</v>
      </c>
      <c r="E158" s="3" t="s">
        <v>64</v>
      </c>
      <c r="F158" s="3" t="s">
        <v>50</v>
      </c>
      <c r="G158" s="3" t="s">
        <v>60</v>
      </c>
      <c r="H158" s="3" t="s">
        <v>30</v>
      </c>
      <c r="I158" s="5">
        <v>11620.9</v>
      </c>
      <c r="J158" s="5">
        <v>0</v>
      </c>
      <c r="K158" s="3" t="s">
        <v>45</v>
      </c>
      <c r="L158" s="3" t="s">
        <v>46</v>
      </c>
    </row>
    <row r="159" spans="1:12">
      <c r="A159" s="3" t="s">
        <v>235</v>
      </c>
      <c r="B159" s="4">
        <v>45842</v>
      </c>
      <c r="C159" s="3" t="s">
        <v>63</v>
      </c>
      <c r="D159" s="3" t="s">
        <v>63</v>
      </c>
      <c r="E159" s="3" t="s">
        <v>49</v>
      </c>
      <c r="F159" s="3" t="s">
        <v>69</v>
      </c>
      <c r="G159" s="3" t="s">
        <v>43</v>
      </c>
      <c r="H159" s="3" t="s">
        <v>52</v>
      </c>
      <c r="I159" s="5">
        <v>3311.19</v>
      </c>
      <c r="J159" s="5">
        <v>0</v>
      </c>
      <c r="K159" s="3" t="s">
        <v>45</v>
      </c>
      <c r="L159" s="3" t="s">
        <v>70</v>
      </c>
    </row>
    <row r="160" spans="1:12">
      <c r="A160" s="3" t="s">
        <v>236</v>
      </c>
      <c r="B160" s="4">
        <v>45860</v>
      </c>
      <c r="C160" s="3" t="s">
        <v>63</v>
      </c>
      <c r="D160" s="3" t="s">
        <v>63</v>
      </c>
      <c r="E160" s="3" t="s">
        <v>64</v>
      </c>
      <c r="F160" s="3" t="s">
        <v>56</v>
      </c>
      <c r="G160" s="3" t="s">
        <v>43</v>
      </c>
      <c r="H160" s="3" t="s">
        <v>30</v>
      </c>
      <c r="I160" s="5">
        <v>101013.94</v>
      </c>
      <c r="J160" s="5">
        <v>0</v>
      </c>
      <c r="K160" s="3" t="s">
        <v>45</v>
      </c>
      <c r="L160" s="3" t="s">
        <v>75</v>
      </c>
    </row>
    <row r="161" spans="1:12">
      <c r="A161" s="3" t="s">
        <v>237</v>
      </c>
      <c r="B161" s="4">
        <v>46299</v>
      </c>
      <c r="C161" s="3" t="s">
        <v>40</v>
      </c>
      <c r="D161" s="3" t="s">
        <v>40</v>
      </c>
      <c r="E161" s="3" t="s">
        <v>77</v>
      </c>
      <c r="F161" s="3" t="s">
        <v>69</v>
      </c>
      <c r="G161" s="3" t="s">
        <v>43</v>
      </c>
      <c r="H161" s="3" t="s">
        <v>44</v>
      </c>
      <c r="I161" s="5">
        <v>25501.86</v>
      </c>
      <c r="J161" s="5">
        <v>0</v>
      </c>
      <c r="K161" s="3" t="s">
        <v>45</v>
      </c>
      <c r="L161" s="3" t="s">
        <v>46</v>
      </c>
    </row>
    <row r="162" spans="1:12">
      <c r="A162" s="3" t="s">
        <v>238</v>
      </c>
      <c r="B162" s="4">
        <v>45674</v>
      </c>
      <c r="C162" s="3" t="s">
        <v>63</v>
      </c>
      <c r="D162" s="3" t="s">
        <v>63</v>
      </c>
      <c r="E162" s="3" t="s">
        <v>77</v>
      </c>
      <c r="F162" s="3" t="s">
        <v>50</v>
      </c>
      <c r="G162" s="3" t="s">
        <v>51</v>
      </c>
      <c r="H162" s="3" t="s">
        <v>30</v>
      </c>
      <c r="I162" s="5">
        <v>26019.52</v>
      </c>
      <c r="J162" s="5">
        <v>77.81</v>
      </c>
      <c r="K162" s="3" t="s">
        <v>45</v>
      </c>
      <c r="L162" s="3" t="s">
        <v>70</v>
      </c>
    </row>
    <row r="163" spans="1:12">
      <c r="A163" s="3" t="s">
        <v>239</v>
      </c>
      <c r="B163" s="4">
        <v>45853</v>
      </c>
      <c r="C163" s="3" t="s">
        <v>40</v>
      </c>
      <c r="D163" s="3" t="s">
        <v>40</v>
      </c>
      <c r="E163" s="3" t="s">
        <v>77</v>
      </c>
      <c r="F163" s="3" t="s">
        <v>56</v>
      </c>
      <c r="G163" s="3" t="s">
        <v>51</v>
      </c>
      <c r="H163" s="3" t="s">
        <v>30</v>
      </c>
      <c r="I163" s="5">
        <v>25762.43</v>
      </c>
      <c r="J163" s="5">
        <v>18.95</v>
      </c>
      <c r="K163" s="3" t="s">
        <v>45</v>
      </c>
      <c r="L163" s="3" t="s">
        <v>75</v>
      </c>
    </row>
    <row r="164" spans="1:12">
      <c r="A164" s="3" t="s">
        <v>240</v>
      </c>
      <c r="B164" s="4">
        <v>46088</v>
      </c>
      <c r="C164" s="3" t="s">
        <v>63</v>
      </c>
      <c r="D164" s="3" t="s">
        <v>63</v>
      </c>
      <c r="E164" s="3" t="s">
        <v>77</v>
      </c>
      <c r="F164" s="3" t="s">
        <v>56</v>
      </c>
      <c r="G164" s="3" t="s">
        <v>83</v>
      </c>
      <c r="H164" s="3" t="s">
        <v>30</v>
      </c>
      <c r="I164" s="5">
        <v>142256.57999999999</v>
      </c>
      <c r="J164" s="5">
        <v>53.38</v>
      </c>
      <c r="K164" s="3" t="s">
        <v>45</v>
      </c>
      <c r="L164" s="3" t="s">
        <v>57</v>
      </c>
    </row>
    <row r="165" spans="1:12">
      <c r="A165" s="3" t="s">
        <v>241</v>
      </c>
      <c r="B165" s="4">
        <v>45724</v>
      </c>
      <c r="C165" s="3" t="s">
        <v>67</v>
      </c>
      <c r="D165" s="3" t="s">
        <v>68</v>
      </c>
      <c r="E165" s="3" t="s">
        <v>77</v>
      </c>
      <c r="F165" s="3" t="s">
        <v>69</v>
      </c>
      <c r="G165" s="3" t="s">
        <v>43</v>
      </c>
      <c r="H165" s="3" t="s">
        <v>52</v>
      </c>
      <c r="I165" s="5">
        <v>1041.99</v>
      </c>
      <c r="J165" s="5">
        <v>0</v>
      </c>
      <c r="K165" s="3" t="s">
        <v>84</v>
      </c>
      <c r="L165" s="3" t="s">
        <v>46</v>
      </c>
    </row>
    <row r="166" spans="1:12">
      <c r="A166" s="3" t="s">
        <v>242</v>
      </c>
      <c r="B166" s="4">
        <v>45697</v>
      </c>
      <c r="C166" s="3" t="s">
        <v>73</v>
      </c>
      <c r="D166" s="3" t="s">
        <v>74</v>
      </c>
      <c r="E166" s="3" t="s">
        <v>49</v>
      </c>
      <c r="F166" s="3" t="s">
        <v>56</v>
      </c>
      <c r="G166" s="3" t="s">
        <v>51</v>
      </c>
      <c r="H166" s="3" t="s">
        <v>78</v>
      </c>
      <c r="I166" s="5">
        <v>28546.38</v>
      </c>
      <c r="J166" s="5">
        <v>60.66</v>
      </c>
      <c r="K166" s="3" t="s">
        <v>45</v>
      </c>
      <c r="L166" s="3" t="s">
        <v>65</v>
      </c>
    </row>
    <row r="167" spans="1:12">
      <c r="A167" s="3" t="s">
        <v>243</v>
      </c>
      <c r="B167" s="4">
        <v>46290</v>
      </c>
      <c r="C167" s="3" t="s">
        <v>63</v>
      </c>
      <c r="D167" s="3" t="s">
        <v>63</v>
      </c>
      <c r="E167" s="3" t="s">
        <v>49</v>
      </c>
      <c r="F167" s="3" t="s">
        <v>69</v>
      </c>
      <c r="G167" s="3" t="s">
        <v>83</v>
      </c>
      <c r="H167" s="3" t="s">
        <v>52</v>
      </c>
      <c r="I167" s="5">
        <v>138003.95000000001</v>
      </c>
      <c r="J167" s="5">
        <v>143.22999999999999</v>
      </c>
      <c r="K167" s="3" t="s">
        <v>45</v>
      </c>
      <c r="L167" s="3" t="s">
        <v>65</v>
      </c>
    </row>
    <row r="168" spans="1:12">
      <c r="A168" s="3" t="s">
        <v>244</v>
      </c>
      <c r="B168" s="4">
        <v>45662</v>
      </c>
      <c r="C168" s="3" t="s">
        <v>48</v>
      </c>
      <c r="D168" s="3" t="s">
        <v>48</v>
      </c>
      <c r="E168" s="3" t="s">
        <v>64</v>
      </c>
      <c r="F168" s="3" t="s">
        <v>69</v>
      </c>
      <c r="G168" s="3" t="s">
        <v>83</v>
      </c>
      <c r="H168" s="3" t="s">
        <v>61</v>
      </c>
      <c r="I168" s="5">
        <v>156988.45000000001</v>
      </c>
      <c r="J168" s="5">
        <v>161.76</v>
      </c>
      <c r="K168" s="3" t="s">
        <v>45</v>
      </c>
      <c r="L168" s="3" t="s">
        <v>53</v>
      </c>
    </row>
    <row r="169" spans="1:12">
      <c r="A169" s="3" t="s">
        <v>245</v>
      </c>
      <c r="B169" s="4">
        <v>45682</v>
      </c>
      <c r="C169" s="3" t="s">
        <v>48</v>
      </c>
      <c r="D169" s="3" t="s">
        <v>48</v>
      </c>
      <c r="E169" s="3" t="s">
        <v>55</v>
      </c>
      <c r="F169" s="3" t="s">
        <v>56</v>
      </c>
      <c r="G169" s="3" t="s">
        <v>83</v>
      </c>
      <c r="H169" s="3" t="s">
        <v>61</v>
      </c>
      <c r="I169" s="5">
        <v>45513.79</v>
      </c>
      <c r="J169" s="5">
        <v>96.58</v>
      </c>
      <c r="K169" s="3" t="s">
        <v>45</v>
      </c>
      <c r="L169" s="3" t="s">
        <v>53</v>
      </c>
    </row>
    <row r="170" spans="1:12">
      <c r="A170" s="3" t="s">
        <v>246</v>
      </c>
      <c r="B170" s="4">
        <v>46288</v>
      </c>
      <c r="C170" s="3" t="s">
        <v>40</v>
      </c>
      <c r="D170" s="3" t="s">
        <v>40</v>
      </c>
      <c r="E170" s="3" t="s">
        <v>64</v>
      </c>
      <c r="F170" s="3" t="s">
        <v>50</v>
      </c>
      <c r="G170" s="3" t="s">
        <v>83</v>
      </c>
      <c r="H170" s="3" t="s">
        <v>78</v>
      </c>
      <c r="I170" s="5">
        <v>55566.51</v>
      </c>
      <c r="J170" s="5">
        <v>74.38</v>
      </c>
      <c r="K170" s="3" t="s">
        <v>84</v>
      </c>
      <c r="L170" s="3" t="s">
        <v>70</v>
      </c>
    </row>
    <row r="171" spans="1:12">
      <c r="A171" s="3" t="s">
        <v>247</v>
      </c>
      <c r="B171" s="4">
        <v>46015</v>
      </c>
      <c r="C171" s="3" t="s">
        <v>63</v>
      </c>
      <c r="D171" s="3" t="s">
        <v>63</v>
      </c>
      <c r="E171" s="3" t="s">
        <v>49</v>
      </c>
      <c r="F171" s="3" t="s">
        <v>50</v>
      </c>
      <c r="G171" s="3" t="s">
        <v>43</v>
      </c>
      <c r="H171" s="3" t="s">
        <v>30</v>
      </c>
      <c r="I171" s="5">
        <v>73104.59</v>
      </c>
      <c r="J171" s="5">
        <v>0</v>
      </c>
      <c r="K171" s="3" t="s">
        <v>45</v>
      </c>
      <c r="L171" s="3" t="s">
        <v>46</v>
      </c>
    </row>
    <row r="172" spans="1:12">
      <c r="A172" s="3" t="s">
        <v>248</v>
      </c>
      <c r="B172" s="4">
        <v>45878</v>
      </c>
      <c r="C172" s="3" t="s">
        <v>67</v>
      </c>
      <c r="D172" s="3" t="s">
        <v>68</v>
      </c>
      <c r="E172" s="3" t="s">
        <v>55</v>
      </c>
      <c r="F172" s="3" t="s">
        <v>50</v>
      </c>
      <c r="G172" s="3" t="s">
        <v>51</v>
      </c>
      <c r="H172" s="3" t="s">
        <v>30</v>
      </c>
      <c r="I172" s="5">
        <v>5333.5</v>
      </c>
      <c r="J172" s="5">
        <v>33.22</v>
      </c>
      <c r="K172" s="3" t="s">
        <v>45</v>
      </c>
      <c r="L172" s="3" t="s">
        <v>53</v>
      </c>
    </row>
    <row r="173" spans="1:12">
      <c r="A173" s="3" t="s">
        <v>249</v>
      </c>
      <c r="B173" s="4">
        <v>46207</v>
      </c>
      <c r="C173" s="3" t="s">
        <v>48</v>
      </c>
      <c r="D173" s="3" t="s">
        <v>48</v>
      </c>
      <c r="E173" s="3" t="s">
        <v>77</v>
      </c>
      <c r="F173" s="3" t="s">
        <v>56</v>
      </c>
      <c r="G173" s="3" t="s">
        <v>51</v>
      </c>
      <c r="H173" s="3" t="s">
        <v>52</v>
      </c>
      <c r="I173" s="5">
        <v>17522.57</v>
      </c>
      <c r="J173" s="5">
        <v>89.72</v>
      </c>
      <c r="K173" s="3" t="s">
        <v>45</v>
      </c>
      <c r="L173" s="3" t="s">
        <v>53</v>
      </c>
    </row>
    <row r="174" spans="1:12">
      <c r="A174" s="3" t="s">
        <v>250</v>
      </c>
      <c r="B174" s="4">
        <v>45949</v>
      </c>
      <c r="C174" s="3" t="s">
        <v>73</v>
      </c>
      <c r="D174" s="3" t="s">
        <v>74</v>
      </c>
      <c r="E174" s="3" t="s">
        <v>77</v>
      </c>
      <c r="F174" s="3" t="s">
        <v>56</v>
      </c>
      <c r="G174" s="3" t="s">
        <v>43</v>
      </c>
      <c r="H174" s="3" t="s">
        <v>78</v>
      </c>
      <c r="I174" s="5">
        <v>87106.25</v>
      </c>
      <c r="J174" s="5">
        <v>0</v>
      </c>
      <c r="K174" s="3" t="s">
        <v>45</v>
      </c>
      <c r="L174" s="3" t="s">
        <v>70</v>
      </c>
    </row>
    <row r="175" spans="1:12">
      <c r="A175" s="3" t="s">
        <v>251</v>
      </c>
      <c r="B175" s="4">
        <v>45848</v>
      </c>
      <c r="C175" s="3" t="s">
        <v>63</v>
      </c>
      <c r="D175" s="3" t="s">
        <v>63</v>
      </c>
      <c r="E175" s="3" t="s">
        <v>77</v>
      </c>
      <c r="F175" s="3" t="s">
        <v>69</v>
      </c>
      <c r="G175" s="3" t="s">
        <v>51</v>
      </c>
      <c r="H175" s="3" t="s">
        <v>78</v>
      </c>
      <c r="I175" s="5">
        <v>10661.3</v>
      </c>
      <c r="J175" s="5">
        <v>87.67</v>
      </c>
      <c r="K175" s="3" t="s">
        <v>45</v>
      </c>
      <c r="L175" s="3" t="s">
        <v>70</v>
      </c>
    </row>
    <row r="176" spans="1:12">
      <c r="A176" s="3" t="s">
        <v>252</v>
      </c>
      <c r="B176" s="4">
        <v>46306</v>
      </c>
      <c r="C176" s="3" t="s">
        <v>63</v>
      </c>
      <c r="D176" s="3" t="s">
        <v>63</v>
      </c>
      <c r="E176" s="3" t="s">
        <v>64</v>
      </c>
      <c r="F176" s="3" t="s">
        <v>50</v>
      </c>
      <c r="G176" s="3" t="s">
        <v>51</v>
      </c>
      <c r="H176" s="3" t="s">
        <v>30</v>
      </c>
      <c r="I176" s="5">
        <v>10844.04</v>
      </c>
      <c r="J176" s="5">
        <v>91.11</v>
      </c>
      <c r="K176" s="3" t="s">
        <v>45</v>
      </c>
      <c r="L176" s="3" t="s">
        <v>53</v>
      </c>
    </row>
    <row r="177" spans="1:12">
      <c r="A177" s="3" t="s">
        <v>253</v>
      </c>
      <c r="B177" s="4">
        <v>45804</v>
      </c>
      <c r="C177" s="3" t="s">
        <v>67</v>
      </c>
      <c r="D177" s="3" t="s">
        <v>68</v>
      </c>
      <c r="E177" s="3" t="s">
        <v>55</v>
      </c>
      <c r="F177" s="3" t="s">
        <v>69</v>
      </c>
      <c r="G177" s="3" t="s">
        <v>83</v>
      </c>
      <c r="H177" s="3" t="s">
        <v>78</v>
      </c>
      <c r="I177" s="5">
        <v>81565.48</v>
      </c>
      <c r="J177" s="5">
        <v>106.72</v>
      </c>
      <c r="K177" s="3" t="s">
        <v>45</v>
      </c>
      <c r="L177" s="3" t="s">
        <v>46</v>
      </c>
    </row>
    <row r="178" spans="1:12">
      <c r="A178" s="3" t="s">
        <v>254</v>
      </c>
      <c r="B178" s="4">
        <v>45664</v>
      </c>
      <c r="C178" s="3" t="s">
        <v>40</v>
      </c>
      <c r="D178" s="3" t="s">
        <v>40</v>
      </c>
      <c r="E178" s="3" t="s">
        <v>77</v>
      </c>
      <c r="F178" s="3" t="s">
        <v>56</v>
      </c>
      <c r="G178" s="3" t="s">
        <v>83</v>
      </c>
      <c r="H178" s="3" t="s">
        <v>52</v>
      </c>
      <c r="I178" s="5">
        <v>123599.61</v>
      </c>
      <c r="J178" s="5">
        <v>168.28</v>
      </c>
      <c r="K178" s="3" t="s">
        <v>45</v>
      </c>
      <c r="L178" s="3" t="s">
        <v>70</v>
      </c>
    </row>
    <row r="179" spans="1:12">
      <c r="A179" s="3" t="s">
        <v>255</v>
      </c>
      <c r="B179" s="4">
        <v>46328</v>
      </c>
      <c r="C179" s="3" t="s">
        <v>48</v>
      </c>
      <c r="D179" s="3" t="s">
        <v>48</v>
      </c>
      <c r="E179" s="3" t="s">
        <v>77</v>
      </c>
      <c r="F179" s="3" t="s">
        <v>56</v>
      </c>
      <c r="G179" s="3" t="s">
        <v>51</v>
      </c>
      <c r="H179" s="3" t="s">
        <v>61</v>
      </c>
      <c r="I179" s="5">
        <v>8446.35</v>
      </c>
      <c r="J179" s="5">
        <v>94.42</v>
      </c>
      <c r="K179" s="3" t="s">
        <v>45</v>
      </c>
      <c r="L179" s="3" t="s">
        <v>53</v>
      </c>
    </row>
    <row r="180" spans="1:12">
      <c r="A180" s="3" t="s">
        <v>256</v>
      </c>
      <c r="B180" s="4" t="s">
        <v>257</v>
      </c>
      <c r="C180" s="3" t="s">
        <v>73</v>
      </c>
      <c r="D180" s="3" t="s">
        <v>74</v>
      </c>
      <c r="E180" s="3" t="s">
        <v>64</v>
      </c>
      <c r="F180" s="3" t="s">
        <v>50</v>
      </c>
      <c r="G180" s="3" t="s">
        <v>60</v>
      </c>
      <c r="H180" s="3" t="s">
        <v>61</v>
      </c>
      <c r="I180" s="5">
        <v>29228.01</v>
      </c>
      <c r="J180" s="5">
        <v>0</v>
      </c>
      <c r="K180" s="3" t="s">
        <v>45</v>
      </c>
      <c r="L180" s="3" t="s">
        <v>70</v>
      </c>
    </row>
    <row r="181" spans="1:12">
      <c r="A181" s="3" t="s">
        <v>258</v>
      </c>
      <c r="B181" s="4">
        <v>45881</v>
      </c>
      <c r="C181" s="3" t="s">
        <v>48</v>
      </c>
      <c r="D181" s="3" t="s">
        <v>48</v>
      </c>
      <c r="E181" s="3" t="s">
        <v>49</v>
      </c>
      <c r="F181" s="3" t="s">
        <v>69</v>
      </c>
      <c r="G181" s="3" t="s">
        <v>60</v>
      </c>
      <c r="H181" s="3" t="s">
        <v>30</v>
      </c>
      <c r="I181" s="5">
        <v>72780.759999999995</v>
      </c>
      <c r="J181" s="5">
        <v>0</v>
      </c>
      <c r="K181" s="3" t="s">
        <v>45</v>
      </c>
      <c r="L181" s="3" t="s">
        <v>70</v>
      </c>
    </row>
    <row r="182" spans="1:12">
      <c r="A182" s="3" t="s">
        <v>259</v>
      </c>
      <c r="B182" s="4">
        <v>46252</v>
      </c>
      <c r="C182" s="3" t="s">
        <v>40</v>
      </c>
      <c r="D182" s="3" t="s">
        <v>40</v>
      </c>
      <c r="E182" s="3" t="s">
        <v>49</v>
      </c>
      <c r="F182" s="3" t="s">
        <v>69</v>
      </c>
      <c r="G182" s="3" t="s">
        <v>43</v>
      </c>
      <c r="H182" s="3" t="s">
        <v>61</v>
      </c>
      <c r="I182" s="5">
        <v>69741.23</v>
      </c>
      <c r="J182" s="5">
        <v>0</v>
      </c>
      <c r="K182" s="3" t="s">
        <v>45</v>
      </c>
      <c r="L182" s="3" t="s">
        <v>46</v>
      </c>
    </row>
    <row r="183" spans="1:12">
      <c r="A183" s="3" t="s">
        <v>260</v>
      </c>
      <c r="B183" s="4">
        <v>45978</v>
      </c>
      <c r="C183" s="3" t="s">
        <v>63</v>
      </c>
      <c r="D183" s="3" t="s">
        <v>63</v>
      </c>
      <c r="E183" s="3" t="s">
        <v>55</v>
      </c>
      <c r="F183" s="3" t="s">
        <v>50</v>
      </c>
      <c r="G183" s="3" t="s">
        <v>51</v>
      </c>
      <c r="H183" s="3" t="s">
        <v>30</v>
      </c>
      <c r="I183" s="5">
        <v>4444.58</v>
      </c>
      <c r="J183" s="5">
        <v>95.91</v>
      </c>
      <c r="K183" s="3" t="s">
        <v>45</v>
      </c>
      <c r="L183" s="3" t="s">
        <v>70</v>
      </c>
    </row>
    <row r="184" spans="1:12">
      <c r="A184" s="3" t="s">
        <v>261</v>
      </c>
      <c r="B184" s="4">
        <v>45735</v>
      </c>
      <c r="C184" s="3" t="s">
        <v>48</v>
      </c>
      <c r="D184" s="3" t="s">
        <v>48</v>
      </c>
      <c r="E184" s="3" t="s">
        <v>55</v>
      </c>
      <c r="F184" s="3" t="s">
        <v>50</v>
      </c>
      <c r="G184" s="3" t="s">
        <v>83</v>
      </c>
      <c r="H184" s="3" t="s">
        <v>30</v>
      </c>
      <c r="I184" s="5">
        <v>38907.800000000003</v>
      </c>
      <c r="J184" s="5">
        <v>170.01</v>
      </c>
      <c r="K184" s="3" t="s">
        <v>45</v>
      </c>
      <c r="L184" s="3" t="s">
        <v>46</v>
      </c>
    </row>
    <row r="185" spans="1:12">
      <c r="A185" s="3" t="s">
        <v>262</v>
      </c>
      <c r="B185" s="4">
        <v>46319</v>
      </c>
      <c r="C185" s="3" t="s">
        <v>63</v>
      </c>
      <c r="D185" s="3" t="s">
        <v>63</v>
      </c>
      <c r="E185" s="3" t="s">
        <v>64</v>
      </c>
      <c r="F185" s="3" t="s">
        <v>56</v>
      </c>
      <c r="G185" s="3" t="s">
        <v>60</v>
      </c>
      <c r="H185" s="3" t="s">
        <v>78</v>
      </c>
      <c r="I185" s="5">
        <v>68170.42</v>
      </c>
      <c r="J185" s="5">
        <v>0</v>
      </c>
      <c r="K185" s="3" t="s">
        <v>45</v>
      </c>
      <c r="L185" s="3" t="s">
        <v>46</v>
      </c>
    </row>
    <row r="186" spans="1:12">
      <c r="A186" s="3" t="s">
        <v>263</v>
      </c>
      <c r="B186" s="4">
        <v>45989</v>
      </c>
      <c r="C186" s="3" t="s">
        <v>40</v>
      </c>
      <c r="D186" s="3" t="s">
        <v>40</v>
      </c>
      <c r="E186" s="3" t="s">
        <v>55</v>
      </c>
      <c r="F186" s="3" t="s">
        <v>69</v>
      </c>
      <c r="G186" s="3" t="s">
        <v>83</v>
      </c>
      <c r="H186" s="3" t="s">
        <v>78</v>
      </c>
      <c r="I186" s="5">
        <v>97584.88</v>
      </c>
      <c r="J186" s="5">
        <v>99.88</v>
      </c>
      <c r="K186" s="3" t="s">
        <v>45</v>
      </c>
      <c r="L186" s="3" t="s">
        <v>53</v>
      </c>
    </row>
    <row r="187" spans="1:12">
      <c r="A187" s="3" t="s">
        <v>264</v>
      </c>
      <c r="B187" s="4">
        <v>45935</v>
      </c>
      <c r="C187" s="3" t="s">
        <v>109</v>
      </c>
      <c r="D187" s="3" t="s">
        <v>63</v>
      </c>
      <c r="E187" s="3" t="s">
        <v>49</v>
      </c>
      <c r="F187" s="3" t="s">
        <v>69</v>
      </c>
      <c r="G187" s="3" t="s">
        <v>60</v>
      </c>
      <c r="H187" s="3" t="s">
        <v>52</v>
      </c>
      <c r="I187" s="5">
        <v>27085.82</v>
      </c>
      <c r="J187" s="5">
        <v>0</v>
      </c>
      <c r="K187" s="3" t="s">
        <v>45</v>
      </c>
      <c r="L187" s="3" t="s">
        <v>70</v>
      </c>
    </row>
    <row r="188" spans="1:12">
      <c r="A188" s="3" t="s">
        <v>265</v>
      </c>
      <c r="B188" s="4">
        <v>46113</v>
      </c>
      <c r="C188" s="3" t="s">
        <v>40</v>
      </c>
      <c r="D188" s="3" t="s">
        <v>40</v>
      </c>
      <c r="E188" s="3" t="s">
        <v>77</v>
      </c>
      <c r="F188" s="3" t="s">
        <v>69</v>
      </c>
      <c r="G188" s="3" t="s">
        <v>43</v>
      </c>
      <c r="H188" s="3" t="s">
        <v>52</v>
      </c>
      <c r="I188" s="5">
        <v>41349.49</v>
      </c>
      <c r="J188" s="5">
        <v>0</v>
      </c>
      <c r="K188" s="3" t="s">
        <v>45</v>
      </c>
      <c r="L188" s="3" t="s">
        <v>57</v>
      </c>
    </row>
    <row r="189" spans="1:12">
      <c r="A189" s="3" t="s">
        <v>266</v>
      </c>
      <c r="B189" s="4">
        <v>46013</v>
      </c>
      <c r="C189" s="3" t="s">
        <v>40</v>
      </c>
      <c r="D189" s="3" t="s">
        <v>40</v>
      </c>
      <c r="E189" s="3" t="s">
        <v>49</v>
      </c>
      <c r="F189" s="3" t="s">
        <v>69</v>
      </c>
      <c r="G189" s="3" t="s">
        <v>51</v>
      </c>
      <c r="H189" s="3" t="s">
        <v>78</v>
      </c>
      <c r="I189" s="5">
        <v>26797.13</v>
      </c>
      <c r="J189" s="5">
        <v>96.42</v>
      </c>
      <c r="K189" s="3" t="s">
        <v>45</v>
      </c>
      <c r="L189" s="3" t="s">
        <v>46</v>
      </c>
    </row>
    <row r="190" spans="1:12">
      <c r="A190" s="3" t="s">
        <v>267</v>
      </c>
      <c r="B190" s="4">
        <v>45698</v>
      </c>
      <c r="C190" s="3" t="s">
        <v>40</v>
      </c>
      <c r="D190" s="3" t="s">
        <v>40</v>
      </c>
      <c r="E190" s="3" t="s">
        <v>268</v>
      </c>
      <c r="F190" s="3" t="s">
        <v>50</v>
      </c>
      <c r="G190" s="3" t="s">
        <v>43</v>
      </c>
      <c r="H190" s="3" t="s">
        <v>30</v>
      </c>
      <c r="I190" s="5">
        <v>46912.31</v>
      </c>
      <c r="J190" s="5">
        <v>0</v>
      </c>
      <c r="K190" s="3" t="s">
        <v>45</v>
      </c>
      <c r="L190" s="3" t="s">
        <v>65</v>
      </c>
    </row>
    <row r="191" spans="1:12">
      <c r="A191" s="3" t="s">
        <v>269</v>
      </c>
      <c r="B191" s="4">
        <v>46347</v>
      </c>
      <c r="C191" s="3" t="s">
        <v>40</v>
      </c>
      <c r="D191" s="3" t="s">
        <v>40</v>
      </c>
      <c r="E191" s="3" t="s">
        <v>55</v>
      </c>
      <c r="F191" s="3" t="s">
        <v>50</v>
      </c>
      <c r="G191" s="3" t="s">
        <v>43</v>
      </c>
      <c r="H191" s="3" t="s">
        <v>30</v>
      </c>
      <c r="I191" s="5">
        <v>82152.72</v>
      </c>
      <c r="J191" s="5">
        <v>0</v>
      </c>
      <c r="K191" s="3" t="s">
        <v>45</v>
      </c>
      <c r="L191" s="3" t="s">
        <v>46</v>
      </c>
    </row>
    <row r="192" spans="1:12">
      <c r="A192" s="3" t="s">
        <v>270</v>
      </c>
      <c r="B192" s="4">
        <v>45793</v>
      </c>
      <c r="C192" s="3" t="s">
        <v>63</v>
      </c>
      <c r="D192" s="3" t="s">
        <v>63</v>
      </c>
      <c r="E192" s="3" t="s">
        <v>49</v>
      </c>
      <c r="F192" s="3" t="s">
        <v>56</v>
      </c>
      <c r="G192" s="3" t="s">
        <v>51</v>
      </c>
      <c r="H192" s="3" t="s">
        <v>61</v>
      </c>
      <c r="I192" s="5">
        <v>12205.88</v>
      </c>
      <c r="J192" s="5">
        <v>24.09</v>
      </c>
      <c r="K192" s="3" t="s">
        <v>45</v>
      </c>
      <c r="L192" s="3" t="s">
        <v>65</v>
      </c>
    </row>
    <row r="193" spans="1:12">
      <c r="A193" s="3" t="s">
        <v>271</v>
      </c>
      <c r="B193" s="4">
        <v>45948</v>
      </c>
      <c r="C193" s="3" t="s">
        <v>48</v>
      </c>
      <c r="D193" s="3" t="s">
        <v>48</v>
      </c>
      <c r="E193" s="3" t="s">
        <v>77</v>
      </c>
      <c r="F193" s="3" t="s">
        <v>69</v>
      </c>
      <c r="G193" s="3" t="s">
        <v>83</v>
      </c>
      <c r="H193" s="3" t="s">
        <v>52</v>
      </c>
      <c r="I193" s="5">
        <v>94919.33</v>
      </c>
      <c r="J193" s="5">
        <v>127.82</v>
      </c>
      <c r="K193" s="3" t="s">
        <v>45</v>
      </c>
      <c r="L193" s="3" t="s">
        <v>57</v>
      </c>
    </row>
    <row r="194" spans="1:12">
      <c r="A194" s="3" t="s">
        <v>272</v>
      </c>
      <c r="B194" s="4">
        <v>46082</v>
      </c>
      <c r="C194" s="3" t="s">
        <v>63</v>
      </c>
      <c r="D194" s="3" t="s">
        <v>63</v>
      </c>
      <c r="E194" s="3" t="s">
        <v>64</v>
      </c>
      <c r="F194" s="3" t="s">
        <v>56</v>
      </c>
      <c r="G194" s="3" t="s">
        <v>43</v>
      </c>
      <c r="H194" s="3" t="s">
        <v>52</v>
      </c>
      <c r="I194" s="5">
        <v>56099.98</v>
      </c>
      <c r="J194" s="5">
        <v>0</v>
      </c>
      <c r="K194" s="3" t="s">
        <v>45</v>
      </c>
      <c r="L194" s="3" t="s">
        <v>70</v>
      </c>
    </row>
    <row r="195" spans="1:12">
      <c r="A195" s="3" t="s">
        <v>273</v>
      </c>
      <c r="B195" s="4">
        <v>45955</v>
      </c>
      <c r="C195" s="3" t="s">
        <v>73</v>
      </c>
      <c r="D195" s="3" t="s">
        <v>74</v>
      </c>
      <c r="E195" s="3" t="s">
        <v>64</v>
      </c>
      <c r="F195" s="3" t="s">
        <v>50</v>
      </c>
      <c r="G195" s="3" t="s">
        <v>83</v>
      </c>
      <c r="H195" s="3" t="s">
        <v>61</v>
      </c>
      <c r="I195" s="5">
        <v>158572.91</v>
      </c>
      <c r="J195" s="5">
        <v>147.21</v>
      </c>
      <c r="K195" s="3" t="s">
        <v>45</v>
      </c>
      <c r="L195" s="3" t="s">
        <v>46</v>
      </c>
    </row>
    <row r="196" spans="1:12">
      <c r="A196" s="3" t="s">
        <v>274</v>
      </c>
      <c r="B196" s="4">
        <v>45724</v>
      </c>
      <c r="C196" s="3" t="s">
        <v>63</v>
      </c>
      <c r="D196" s="3" t="s">
        <v>63</v>
      </c>
      <c r="E196" s="3" t="s">
        <v>55</v>
      </c>
      <c r="F196" s="3" t="s">
        <v>56</v>
      </c>
      <c r="G196" s="3" t="s">
        <v>60</v>
      </c>
      <c r="H196" s="3" t="s">
        <v>78</v>
      </c>
      <c r="I196" s="5">
        <v>9992.43</v>
      </c>
      <c r="J196" s="5">
        <v>0</v>
      </c>
      <c r="K196" s="3" t="s">
        <v>45</v>
      </c>
      <c r="L196" s="3" t="s">
        <v>46</v>
      </c>
    </row>
    <row r="197" spans="1:12">
      <c r="A197" s="3" t="s">
        <v>275</v>
      </c>
      <c r="B197" s="4">
        <v>46095</v>
      </c>
      <c r="C197" s="3" t="s">
        <v>40</v>
      </c>
      <c r="D197" s="3" t="s">
        <v>40</v>
      </c>
      <c r="E197" s="3" t="s">
        <v>64</v>
      </c>
      <c r="F197" s="3" t="s">
        <v>50</v>
      </c>
      <c r="G197" s="3" t="s">
        <v>51</v>
      </c>
      <c r="H197" s="3" t="s">
        <v>30</v>
      </c>
      <c r="I197" s="5">
        <v>1682.51</v>
      </c>
      <c r="J197" s="5">
        <v>73.27</v>
      </c>
      <c r="K197" s="3" t="s">
        <v>45</v>
      </c>
      <c r="L197" s="3" t="s">
        <v>53</v>
      </c>
    </row>
    <row r="198" spans="1:12">
      <c r="A198" s="3" t="s">
        <v>276</v>
      </c>
      <c r="B198" s="4">
        <v>45722</v>
      </c>
      <c r="C198" s="3" t="s">
        <v>63</v>
      </c>
      <c r="D198" s="3" t="s">
        <v>63</v>
      </c>
      <c r="E198" s="3" t="s">
        <v>64</v>
      </c>
      <c r="F198" s="3" t="s">
        <v>69</v>
      </c>
      <c r="G198" s="3" t="s">
        <v>60</v>
      </c>
      <c r="H198" s="3" t="s">
        <v>52</v>
      </c>
      <c r="I198" s="5">
        <v>40593.410000000003</v>
      </c>
      <c r="J198" s="5">
        <v>0</v>
      </c>
      <c r="K198" s="3" t="s">
        <v>45</v>
      </c>
      <c r="L198" s="3" t="s">
        <v>65</v>
      </c>
    </row>
    <row r="199" spans="1:12">
      <c r="A199" s="3" t="s">
        <v>277</v>
      </c>
      <c r="B199" s="4">
        <v>45730</v>
      </c>
      <c r="C199" s="3" t="s">
        <v>63</v>
      </c>
      <c r="D199" s="3" t="s">
        <v>63</v>
      </c>
      <c r="E199" s="3" t="s">
        <v>77</v>
      </c>
      <c r="F199" s="3" t="s">
        <v>56</v>
      </c>
      <c r="G199" s="3" t="s">
        <v>83</v>
      </c>
      <c r="H199" s="3" t="s">
        <v>78</v>
      </c>
      <c r="I199" s="5">
        <v>21479.31</v>
      </c>
      <c r="J199" s="5">
        <v>35.75</v>
      </c>
      <c r="K199" s="3" t="s">
        <v>45</v>
      </c>
      <c r="L199" s="3" t="s">
        <v>53</v>
      </c>
    </row>
    <row r="200" spans="1:12">
      <c r="A200" s="3" t="s">
        <v>278</v>
      </c>
      <c r="B200" s="4">
        <v>46275</v>
      </c>
      <c r="C200" s="3" t="s">
        <v>73</v>
      </c>
      <c r="D200" s="3" t="s">
        <v>74</v>
      </c>
      <c r="E200" s="3" t="s">
        <v>64</v>
      </c>
      <c r="F200" s="3" t="s">
        <v>50</v>
      </c>
      <c r="G200" s="3" t="s">
        <v>43</v>
      </c>
      <c r="H200" s="3" t="s">
        <v>52</v>
      </c>
      <c r="I200" s="5">
        <v>76336.14</v>
      </c>
      <c r="J200" s="5">
        <v>0</v>
      </c>
      <c r="K200" s="3" t="s">
        <v>45</v>
      </c>
      <c r="L200" s="3" t="s">
        <v>75</v>
      </c>
    </row>
    <row r="201" spans="1:12">
      <c r="A201" s="3" t="s">
        <v>279</v>
      </c>
      <c r="B201" s="4">
        <v>45660</v>
      </c>
      <c r="C201" s="3" t="s">
        <v>40</v>
      </c>
      <c r="D201" s="3" t="s">
        <v>40</v>
      </c>
      <c r="E201" s="3" t="s">
        <v>77</v>
      </c>
      <c r="F201" s="3" t="s">
        <v>69</v>
      </c>
      <c r="G201" s="3" t="s">
        <v>51</v>
      </c>
      <c r="H201" s="3" t="s">
        <v>52</v>
      </c>
      <c r="I201" s="5">
        <v>10951.68</v>
      </c>
      <c r="J201" s="5">
        <v>19.260000000000002</v>
      </c>
      <c r="K201" s="3" t="s">
        <v>45</v>
      </c>
      <c r="L201" s="3" t="s">
        <v>70</v>
      </c>
    </row>
    <row r="202" spans="1:12">
      <c r="A202" s="3" t="s">
        <v>280</v>
      </c>
      <c r="B202" s="4">
        <v>45976</v>
      </c>
      <c r="C202" s="3" t="s">
        <v>63</v>
      </c>
      <c r="D202" s="3" t="s">
        <v>63</v>
      </c>
      <c r="E202" s="3" t="s">
        <v>77</v>
      </c>
      <c r="F202" s="3" t="s">
        <v>69</v>
      </c>
      <c r="G202" s="3" t="s">
        <v>51</v>
      </c>
      <c r="H202" s="3" t="s">
        <v>61</v>
      </c>
      <c r="I202" s="5">
        <v>8976.43</v>
      </c>
      <c r="J202" s="5">
        <v>87.97</v>
      </c>
      <c r="K202" s="3" t="s">
        <v>45</v>
      </c>
      <c r="L202" s="3" t="s">
        <v>65</v>
      </c>
    </row>
    <row r="203" spans="1:12">
      <c r="A203" s="3" t="s">
        <v>281</v>
      </c>
      <c r="B203" s="4">
        <v>46048</v>
      </c>
      <c r="C203" s="3" t="s">
        <v>48</v>
      </c>
      <c r="D203" s="3" t="s">
        <v>48</v>
      </c>
      <c r="E203" s="3" t="s">
        <v>49</v>
      </c>
      <c r="F203" s="3" t="s">
        <v>42</v>
      </c>
      <c r="G203" s="3" t="s">
        <v>43</v>
      </c>
      <c r="H203" s="3" t="s">
        <v>78</v>
      </c>
      <c r="I203" s="5">
        <v>103808.97</v>
      </c>
      <c r="J203" s="5">
        <v>0</v>
      </c>
      <c r="K203" s="3" t="s">
        <v>45</v>
      </c>
      <c r="L203" s="3" t="s">
        <v>70</v>
      </c>
    </row>
    <row r="204" spans="1:12">
      <c r="A204" s="3" t="s">
        <v>282</v>
      </c>
      <c r="B204" s="4">
        <v>45716</v>
      </c>
      <c r="C204" s="3" t="s">
        <v>63</v>
      </c>
      <c r="D204" s="3" t="s">
        <v>63</v>
      </c>
      <c r="E204" s="3" t="s">
        <v>55</v>
      </c>
      <c r="F204" s="3" t="s">
        <v>50</v>
      </c>
      <c r="G204" s="3" t="s">
        <v>83</v>
      </c>
      <c r="H204" s="3" t="s">
        <v>61</v>
      </c>
      <c r="I204" s="5">
        <v>84465.84</v>
      </c>
      <c r="J204" s="5">
        <v>74.14</v>
      </c>
      <c r="K204" s="3" t="s">
        <v>45</v>
      </c>
      <c r="L204" s="3" t="s">
        <v>46</v>
      </c>
    </row>
    <row r="205" spans="1:12">
      <c r="A205" s="3" t="s">
        <v>283</v>
      </c>
      <c r="B205" s="4">
        <v>45810</v>
      </c>
      <c r="C205" s="3" t="s">
        <v>67</v>
      </c>
      <c r="D205" s="3" t="s">
        <v>68</v>
      </c>
      <c r="E205" s="3" t="s">
        <v>55</v>
      </c>
      <c r="F205" s="3" t="s">
        <v>56</v>
      </c>
      <c r="G205" s="3" t="s">
        <v>60</v>
      </c>
      <c r="H205" s="3" t="s">
        <v>78</v>
      </c>
      <c r="I205" s="5">
        <v>47159.21</v>
      </c>
      <c r="J205" s="5">
        <v>0</v>
      </c>
      <c r="K205" s="3" t="s">
        <v>45</v>
      </c>
      <c r="L205" s="3" t="s">
        <v>65</v>
      </c>
    </row>
    <row r="206" spans="1:12">
      <c r="A206" s="3" t="s">
        <v>284</v>
      </c>
      <c r="B206" s="4">
        <v>46211</v>
      </c>
      <c r="C206" s="3" t="s">
        <v>63</v>
      </c>
      <c r="D206" s="3" t="s">
        <v>63</v>
      </c>
      <c r="E206" s="3" t="s">
        <v>49</v>
      </c>
      <c r="F206" s="3" t="s">
        <v>69</v>
      </c>
      <c r="G206" s="3" t="s">
        <v>51</v>
      </c>
      <c r="H206" s="3" t="s">
        <v>52</v>
      </c>
      <c r="I206" s="5">
        <v>9401.4699999999993</v>
      </c>
      <c r="J206" s="5">
        <v>79.12</v>
      </c>
      <c r="K206" s="3" t="s">
        <v>45</v>
      </c>
      <c r="L206" s="3" t="s">
        <v>57</v>
      </c>
    </row>
    <row r="207" spans="1:12">
      <c r="A207" s="3" t="s">
        <v>285</v>
      </c>
      <c r="B207" s="4">
        <v>45695</v>
      </c>
      <c r="C207" s="3" t="s">
        <v>73</v>
      </c>
      <c r="D207" s="3" t="s">
        <v>74</v>
      </c>
      <c r="E207" s="3" t="s">
        <v>55</v>
      </c>
      <c r="F207" s="3" t="s">
        <v>56</v>
      </c>
      <c r="G207" s="3" t="s">
        <v>83</v>
      </c>
      <c r="H207" s="3" t="s">
        <v>61</v>
      </c>
      <c r="I207" s="5">
        <v>55112.23</v>
      </c>
      <c r="J207" s="5">
        <v>102.47</v>
      </c>
      <c r="K207" s="3" t="s">
        <v>45</v>
      </c>
      <c r="L207" s="3" t="s">
        <v>75</v>
      </c>
    </row>
    <row r="208" spans="1:12">
      <c r="A208" s="3" t="s">
        <v>286</v>
      </c>
      <c r="B208" s="4">
        <v>45727</v>
      </c>
      <c r="C208" s="3" t="s">
        <v>67</v>
      </c>
      <c r="D208" s="3" t="s">
        <v>68</v>
      </c>
      <c r="E208" s="3" t="s">
        <v>64</v>
      </c>
      <c r="F208" s="3" t="s">
        <v>69</v>
      </c>
      <c r="G208" s="3" t="s">
        <v>83</v>
      </c>
      <c r="H208" s="3" t="s">
        <v>30</v>
      </c>
      <c r="I208" s="5">
        <v>76741.649999999994</v>
      </c>
      <c r="J208" s="5">
        <v>167.85</v>
      </c>
      <c r="K208" s="3" t="s">
        <v>84</v>
      </c>
      <c r="L208" s="3" t="s">
        <v>70</v>
      </c>
    </row>
    <row r="209" spans="1:12">
      <c r="A209" s="3" t="s">
        <v>287</v>
      </c>
      <c r="B209" s="4">
        <v>46336</v>
      </c>
      <c r="C209" s="3" t="s">
        <v>63</v>
      </c>
      <c r="D209" s="3" t="s">
        <v>63</v>
      </c>
      <c r="E209" s="3" t="s">
        <v>77</v>
      </c>
      <c r="F209" s="3" t="s">
        <v>50</v>
      </c>
      <c r="G209" s="3" t="s">
        <v>60</v>
      </c>
      <c r="H209" s="3" t="s">
        <v>52</v>
      </c>
      <c r="I209" s="5">
        <v>51201.59</v>
      </c>
      <c r="J209" s="5">
        <v>0</v>
      </c>
      <c r="K209" s="3" t="s">
        <v>45</v>
      </c>
      <c r="L209" s="3" t="s">
        <v>75</v>
      </c>
    </row>
    <row r="210" spans="1:12">
      <c r="A210" s="3" t="s">
        <v>288</v>
      </c>
      <c r="B210" s="4">
        <v>45926</v>
      </c>
      <c r="C210" s="3" t="s">
        <v>63</v>
      </c>
      <c r="D210" s="3" t="s">
        <v>63</v>
      </c>
      <c r="E210" s="3" t="s">
        <v>49</v>
      </c>
      <c r="F210" s="3" t="s">
        <v>50</v>
      </c>
      <c r="G210" s="3" t="s">
        <v>51</v>
      </c>
      <c r="H210" s="3" t="s">
        <v>30</v>
      </c>
      <c r="I210" s="5">
        <v>25456.07</v>
      </c>
      <c r="J210" s="5">
        <v>22.72</v>
      </c>
      <c r="K210" s="3" t="s">
        <v>45</v>
      </c>
      <c r="L210" s="3" t="s">
        <v>57</v>
      </c>
    </row>
    <row r="211" spans="1:12">
      <c r="A211" s="3" t="s">
        <v>289</v>
      </c>
      <c r="B211" s="4">
        <v>45917</v>
      </c>
      <c r="C211" s="3" t="s">
        <v>48</v>
      </c>
      <c r="D211" s="3" t="s">
        <v>48</v>
      </c>
      <c r="E211" s="3" t="s">
        <v>55</v>
      </c>
      <c r="F211" s="3" t="s">
        <v>50</v>
      </c>
      <c r="G211" s="3" t="s">
        <v>60</v>
      </c>
      <c r="H211" s="3" t="s">
        <v>61</v>
      </c>
      <c r="I211" s="5">
        <v>24603.41</v>
      </c>
      <c r="J211" s="5">
        <v>0</v>
      </c>
      <c r="K211" s="3" t="s">
        <v>45</v>
      </c>
      <c r="L211" s="3" t="s">
        <v>46</v>
      </c>
    </row>
    <row r="212" spans="1:12">
      <c r="A212" s="3" t="s">
        <v>290</v>
      </c>
      <c r="B212" s="4">
        <v>46213</v>
      </c>
      <c r="C212" s="3" t="s">
        <v>48</v>
      </c>
      <c r="D212" s="3" t="s">
        <v>48</v>
      </c>
      <c r="E212" s="3" t="s">
        <v>49</v>
      </c>
      <c r="F212" s="3" t="s">
        <v>56</v>
      </c>
      <c r="G212" s="3" t="s">
        <v>51</v>
      </c>
      <c r="H212" s="3" t="s">
        <v>61</v>
      </c>
      <c r="I212" s="5">
        <v>7081.85</v>
      </c>
      <c r="J212" s="5">
        <v>46.84</v>
      </c>
      <c r="K212" s="3" t="s">
        <v>45</v>
      </c>
      <c r="L212" s="3" t="s">
        <v>75</v>
      </c>
    </row>
    <row r="213" spans="1:12">
      <c r="A213" s="3" t="s">
        <v>291</v>
      </c>
      <c r="B213" s="4">
        <v>45946</v>
      </c>
      <c r="C213" s="3" t="s">
        <v>40</v>
      </c>
      <c r="D213" s="3" t="s">
        <v>40</v>
      </c>
      <c r="E213" s="3" t="s">
        <v>64</v>
      </c>
      <c r="F213" s="3" t="s">
        <v>69</v>
      </c>
      <c r="G213" s="3" t="s">
        <v>60</v>
      </c>
      <c r="H213" s="3" t="s">
        <v>30</v>
      </c>
      <c r="I213" s="5">
        <v>2312.62</v>
      </c>
      <c r="J213" s="5">
        <v>0</v>
      </c>
      <c r="K213" s="3" t="s">
        <v>45</v>
      </c>
      <c r="L213" s="3" t="s">
        <v>70</v>
      </c>
    </row>
    <row r="214" spans="1:12">
      <c r="A214" s="3" t="s">
        <v>292</v>
      </c>
      <c r="B214" s="4">
        <v>45865</v>
      </c>
      <c r="C214" s="3" t="s">
        <v>73</v>
      </c>
      <c r="D214" s="3" t="s">
        <v>74</v>
      </c>
      <c r="E214" s="3" t="s">
        <v>49</v>
      </c>
      <c r="F214" s="3" t="s">
        <v>50</v>
      </c>
      <c r="G214" s="3" t="s">
        <v>43</v>
      </c>
      <c r="H214" s="3" t="s">
        <v>293</v>
      </c>
      <c r="I214" s="5">
        <v>102212.88</v>
      </c>
      <c r="J214" s="5">
        <v>0</v>
      </c>
      <c r="K214" s="3" t="s">
        <v>45</v>
      </c>
      <c r="L214" s="3" t="s">
        <v>70</v>
      </c>
    </row>
    <row r="215" spans="1:12">
      <c r="A215" s="3" t="s">
        <v>294</v>
      </c>
      <c r="B215" s="4">
        <v>46048</v>
      </c>
      <c r="C215" s="3" t="s">
        <v>40</v>
      </c>
      <c r="D215" s="3" t="s">
        <v>40</v>
      </c>
      <c r="E215" s="3" t="s">
        <v>49</v>
      </c>
      <c r="F215" s="3" t="s">
        <v>69</v>
      </c>
      <c r="G215" s="3" t="s">
        <v>51</v>
      </c>
      <c r="H215" s="3" t="s">
        <v>52</v>
      </c>
      <c r="I215" s="5">
        <v>17959.740000000002</v>
      </c>
      <c r="J215" s="5">
        <v>37.26</v>
      </c>
      <c r="K215" s="3" t="s">
        <v>84</v>
      </c>
      <c r="L215" s="3" t="s">
        <v>57</v>
      </c>
    </row>
    <row r="216" spans="1:12">
      <c r="A216" s="3" t="s">
        <v>295</v>
      </c>
      <c r="B216" s="4">
        <v>45895</v>
      </c>
      <c r="C216" s="3" t="s">
        <v>73</v>
      </c>
      <c r="D216" s="3" t="s">
        <v>74</v>
      </c>
      <c r="E216" s="3" t="s">
        <v>49</v>
      </c>
      <c r="F216" s="3" t="s">
        <v>50</v>
      </c>
      <c r="G216" s="3" t="s">
        <v>83</v>
      </c>
      <c r="H216" s="3" t="s">
        <v>61</v>
      </c>
      <c r="I216" s="5">
        <v>78497.69</v>
      </c>
      <c r="J216" s="5">
        <v>155.26</v>
      </c>
      <c r="K216" s="3" t="s">
        <v>45</v>
      </c>
      <c r="L216" s="3" t="s">
        <v>75</v>
      </c>
    </row>
    <row r="217" spans="1:12">
      <c r="A217" s="3" t="s">
        <v>296</v>
      </c>
      <c r="B217" s="4">
        <v>45729</v>
      </c>
      <c r="C217" s="3" t="s">
        <v>63</v>
      </c>
      <c r="D217" s="3" t="s">
        <v>63</v>
      </c>
      <c r="E217" s="3" t="s">
        <v>64</v>
      </c>
      <c r="F217" s="3" t="s">
        <v>50</v>
      </c>
      <c r="G217" s="3" t="s">
        <v>43</v>
      </c>
      <c r="H217" s="3" t="s">
        <v>78</v>
      </c>
      <c r="I217" s="5">
        <v>68706.73</v>
      </c>
      <c r="J217" s="5">
        <v>0</v>
      </c>
      <c r="K217" s="3" t="s">
        <v>84</v>
      </c>
      <c r="L217" s="3" t="s">
        <v>75</v>
      </c>
    </row>
    <row r="218" spans="1:12">
      <c r="A218" s="3" t="s">
        <v>297</v>
      </c>
      <c r="B218" s="4">
        <v>46120</v>
      </c>
      <c r="C218" s="3" t="s">
        <v>63</v>
      </c>
      <c r="D218" s="3" t="s">
        <v>63</v>
      </c>
      <c r="E218" s="3" t="s">
        <v>55</v>
      </c>
      <c r="F218" s="3" t="s">
        <v>69</v>
      </c>
      <c r="G218" s="3" t="s">
        <v>43</v>
      </c>
      <c r="H218" s="3" t="s">
        <v>52</v>
      </c>
      <c r="I218" s="5">
        <v>74348.820000000007</v>
      </c>
      <c r="J218" s="5">
        <v>0</v>
      </c>
      <c r="K218" s="3" t="s">
        <v>45</v>
      </c>
      <c r="L218" s="3" t="s">
        <v>65</v>
      </c>
    </row>
    <row r="219" spans="1:12">
      <c r="A219" s="3" t="s">
        <v>298</v>
      </c>
      <c r="B219" s="4">
        <v>45915</v>
      </c>
      <c r="C219" s="3" t="s">
        <v>48</v>
      </c>
      <c r="D219" s="3" t="s">
        <v>48</v>
      </c>
      <c r="E219" s="3" t="s">
        <v>77</v>
      </c>
      <c r="F219" s="3" t="s">
        <v>69</v>
      </c>
      <c r="G219" s="3" t="s">
        <v>60</v>
      </c>
      <c r="H219" s="3" t="s">
        <v>30</v>
      </c>
      <c r="I219" s="5">
        <v>47764.75</v>
      </c>
      <c r="J219" s="5">
        <v>0</v>
      </c>
      <c r="K219" s="3" t="s">
        <v>45</v>
      </c>
      <c r="L219" s="3" t="s">
        <v>53</v>
      </c>
    </row>
    <row r="220" spans="1:12">
      <c r="A220" s="3" t="s">
        <v>299</v>
      </c>
      <c r="B220" s="4">
        <v>45924</v>
      </c>
      <c r="C220" s="3" t="s">
        <v>48</v>
      </c>
      <c r="D220" s="3" t="s">
        <v>48</v>
      </c>
      <c r="E220" s="3" t="s">
        <v>49</v>
      </c>
      <c r="F220" s="3" t="s">
        <v>56</v>
      </c>
      <c r="G220" s="3" t="s">
        <v>60</v>
      </c>
      <c r="H220" s="3" t="s">
        <v>52</v>
      </c>
      <c r="I220" s="5">
        <v>32795.74</v>
      </c>
      <c r="J220" s="5">
        <v>0</v>
      </c>
      <c r="K220" s="3" t="s">
        <v>45</v>
      </c>
      <c r="L220" s="3" t="s">
        <v>75</v>
      </c>
    </row>
    <row r="221" spans="1:12">
      <c r="A221" s="3" t="s">
        <v>300</v>
      </c>
      <c r="B221" s="4">
        <v>46176</v>
      </c>
      <c r="C221" s="3" t="s">
        <v>40</v>
      </c>
      <c r="D221" s="3" t="s">
        <v>40</v>
      </c>
      <c r="E221" s="3" t="s">
        <v>55</v>
      </c>
      <c r="F221" s="3" t="s">
        <v>50</v>
      </c>
      <c r="G221" s="3" t="s">
        <v>60</v>
      </c>
      <c r="H221" s="3" t="s">
        <v>78</v>
      </c>
      <c r="I221" s="5">
        <v>68131.11</v>
      </c>
      <c r="J221" s="5">
        <v>0</v>
      </c>
      <c r="K221" s="3" t="s">
        <v>45</v>
      </c>
      <c r="L221" s="3" t="s">
        <v>70</v>
      </c>
    </row>
    <row r="222" spans="1:12">
      <c r="A222" s="3" t="s">
        <v>301</v>
      </c>
      <c r="B222" s="4">
        <v>46009</v>
      </c>
      <c r="C222" s="3" t="s">
        <v>48</v>
      </c>
      <c r="D222" s="3" t="s">
        <v>48</v>
      </c>
      <c r="E222" s="3" t="s">
        <v>49</v>
      </c>
      <c r="F222" s="3" t="s">
        <v>50</v>
      </c>
      <c r="G222" s="3" t="s">
        <v>51</v>
      </c>
      <c r="H222" s="3" t="s">
        <v>61</v>
      </c>
      <c r="I222" s="5">
        <v>8157.28</v>
      </c>
      <c r="J222" s="5">
        <v>84.41</v>
      </c>
      <c r="K222" s="3" t="s">
        <v>45</v>
      </c>
      <c r="L222" s="3" t="s">
        <v>75</v>
      </c>
    </row>
    <row r="223" spans="1:12">
      <c r="A223" s="3" t="s">
        <v>302</v>
      </c>
      <c r="B223" s="4">
        <v>45916</v>
      </c>
      <c r="C223" s="3" t="s">
        <v>73</v>
      </c>
      <c r="D223" s="3" t="s">
        <v>74</v>
      </c>
      <c r="E223" s="3" t="s">
        <v>55</v>
      </c>
      <c r="F223" s="3" t="s">
        <v>56</v>
      </c>
      <c r="G223" s="3" t="s">
        <v>43</v>
      </c>
      <c r="H223" s="3" t="s">
        <v>30</v>
      </c>
      <c r="I223" s="5">
        <v>85535.53</v>
      </c>
      <c r="J223" s="5">
        <v>0</v>
      </c>
      <c r="K223" s="3" t="s">
        <v>45</v>
      </c>
      <c r="L223" s="3" t="s">
        <v>46</v>
      </c>
    </row>
    <row r="224" spans="1:12">
      <c r="A224" s="3" t="s">
        <v>303</v>
      </c>
      <c r="B224" s="4">
        <v>46258</v>
      </c>
      <c r="C224" s="3" t="s">
        <v>148</v>
      </c>
      <c r="D224" s="3" t="s">
        <v>48</v>
      </c>
      <c r="E224" s="3" t="s">
        <v>55</v>
      </c>
      <c r="F224" s="3" t="s">
        <v>69</v>
      </c>
      <c r="G224" s="3" t="s">
        <v>83</v>
      </c>
      <c r="H224" s="3" t="s">
        <v>30</v>
      </c>
      <c r="I224" s="5">
        <v>160803.29</v>
      </c>
      <c r="J224" s="5">
        <v>167.21</v>
      </c>
      <c r="K224" s="3" t="s">
        <v>45</v>
      </c>
      <c r="L224" s="3" t="s">
        <v>53</v>
      </c>
    </row>
    <row r="225" spans="1:12">
      <c r="A225" s="3" t="s">
        <v>304</v>
      </c>
      <c r="B225" s="4">
        <v>45801</v>
      </c>
      <c r="C225" s="3" t="s">
        <v>73</v>
      </c>
      <c r="D225" s="3" t="s">
        <v>74</v>
      </c>
      <c r="E225" s="3" t="s">
        <v>49</v>
      </c>
      <c r="F225" s="3" t="s">
        <v>69</v>
      </c>
      <c r="G225" s="3" t="s">
        <v>83</v>
      </c>
      <c r="H225" s="3" t="s">
        <v>61</v>
      </c>
      <c r="I225" s="5">
        <v>158390.26</v>
      </c>
      <c r="J225" s="5">
        <v>149.91</v>
      </c>
      <c r="K225" s="3" t="s">
        <v>45</v>
      </c>
      <c r="L225" s="3" t="s">
        <v>57</v>
      </c>
    </row>
    <row r="226" spans="1:12">
      <c r="A226" s="3" t="s">
        <v>305</v>
      </c>
      <c r="B226" s="4">
        <v>45664</v>
      </c>
      <c r="C226" s="3" t="s">
        <v>48</v>
      </c>
      <c r="D226" s="3" t="s">
        <v>48</v>
      </c>
      <c r="E226" s="3" t="s">
        <v>64</v>
      </c>
      <c r="F226" s="3" t="s">
        <v>69</v>
      </c>
      <c r="G226" s="3" t="s">
        <v>83</v>
      </c>
      <c r="H226" s="3" t="s">
        <v>61</v>
      </c>
      <c r="I226" s="5">
        <v>121372.97</v>
      </c>
      <c r="J226" s="5">
        <v>148.76</v>
      </c>
      <c r="K226" s="3" t="s">
        <v>45</v>
      </c>
      <c r="L226" s="3" t="s">
        <v>46</v>
      </c>
    </row>
    <row r="227" spans="1:12">
      <c r="A227" s="3" t="s">
        <v>306</v>
      </c>
      <c r="B227" s="4">
        <v>46348</v>
      </c>
      <c r="C227" s="3" t="s">
        <v>67</v>
      </c>
      <c r="D227" s="3" t="s">
        <v>68</v>
      </c>
      <c r="E227" s="3" t="s">
        <v>49</v>
      </c>
      <c r="F227" s="3" t="s">
        <v>50</v>
      </c>
      <c r="G227" s="3" t="s">
        <v>83</v>
      </c>
      <c r="H227" s="3" t="s">
        <v>52</v>
      </c>
      <c r="I227" s="5">
        <v>41055.160000000003</v>
      </c>
      <c r="J227" s="5">
        <v>147.93</v>
      </c>
      <c r="K227" s="3" t="s">
        <v>45</v>
      </c>
      <c r="L227" s="3" t="s">
        <v>70</v>
      </c>
    </row>
    <row r="228" spans="1:12">
      <c r="A228" s="3" t="s">
        <v>307</v>
      </c>
      <c r="B228" s="4">
        <v>45996</v>
      </c>
      <c r="C228" s="3" t="s">
        <v>40</v>
      </c>
      <c r="D228" s="3" t="s">
        <v>40</v>
      </c>
      <c r="E228" s="3" t="s">
        <v>49</v>
      </c>
      <c r="F228" s="3" t="s">
        <v>56</v>
      </c>
      <c r="G228" s="3" t="s">
        <v>60</v>
      </c>
      <c r="H228" s="3" t="s">
        <v>52</v>
      </c>
      <c r="I228" s="5">
        <v>17639.169999999998</v>
      </c>
      <c r="J228" s="5">
        <v>0</v>
      </c>
      <c r="K228" s="3" t="s">
        <v>308</v>
      </c>
      <c r="L228" s="3" t="s">
        <v>57</v>
      </c>
    </row>
    <row r="229" spans="1:12">
      <c r="A229" s="3" t="s">
        <v>309</v>
      </c>
      <c r="B229" s="4">
        <v>45771</v>
      </c>
      <c r="C229" s="3" t="s">
        <v>67</v>
      </c>
      <c r="D229" s="3" t="s">
        <v>68</v>
      </c>
      <c r="E229" s="3" t="s">
        <v>64</v>
      </c>
      <c r="F229" s="3" t="s">
        <v>69</v>
      </c>
      <c r="G229" s="3" t="s">
        <v>51</v>
      </c>
      <c r="H229" s="3" t="s">
        <v>30</v>
      </c>
      <c r="I229" s="5">
        <v>18116.13</v>
      </c>
      <c r="J229" s="5">
        <v>93.97</v>
      </c>
      <c r="K229" s="3" t="s">
        <v>45</v>
      </c>
      <c r="L229" s="3" t="s">
        <v>53</v>
      </c>
    </row>
    <row r="230" spans="1:12">
      <c r="A230" s="3" t="s">
        <v>310</v>
      </c>
      <c r="B230" s="4">
        <v>46190</v>
      </c>
      <c r="C230" s="3" t="s">
        <v>73</v>
      </c>
      <c r="D230" s="3" t="s">
        <v>74</v>
      </c>
      <c r="E230" s="3" t="s">
        <v>49</v>
      </c>
      <c r="F230" s="3" t="s">
        <v>50</v>
      </c>
      <c r="G230" s="3" t="s">
        <v>83</v>
      </c>
      <c r="H230" s="3" t="s">
        <v>30</v>
      </c>
      <c r="I230" s="5">
        <v>46256.42</v>
      </c>
      <c r="J230" s="5">
        <v>121.17</v>
      </c>
      <c r="K230" s="3" t="s">
        <v>45</v>
      </c>
      <c r="L230" s="3" t="s">
        <v>65</v>
      </c>
    </row>
    <row r="231" spans="1:12">
      <c r="A231" s="3" t="s">
        <v>311</v>
      </c>
      <c r="B231" s="4">
        <v>45972</v>
      </c>
      <c r="C231" s="3" t="s">
        <v>73</v>
      </c>
      <c r="D231" s="3" t="s">
        <v>74</v>
      </c>
      <c r="E231" s="3" t="s">
        <v>49</v>
      </c>
      <c r="F231" s="3" t="s">
        <v>56</v>
      </c>
      <c r="G231" s="3" t="s">
        <v>51</v>
      </c>
      <c r="H231" s="3" t="s">
        <v>78</v>
      </c>
      <c r="I231" s="5">
        <v>10145.48</v>
      </c>
      <c r="J231" s="5">
        <v>90.95</v>
      </c>
      <c r="K231" s="3" t="s">
        <v>45</v>
      </c>
      <c r="L231" s="3" t="s">
        <v>65</v>
      </c>
    </row>
    <row r="232" spans="1:12">
      <c r="A232" s="3" t="s">
        <v>312</v>
      </c>
      <c r="B232" s="4">
        <v>45981</v>
      </c>
      <c r="C232" s="3" t="s">
        <v>73</v>
      </c>
      <c r="D232" s="3" t="s">
        <v>74</v>
      </c>
      <c r="E232" s="3" t="s">
        <v>49</v>
      </c>
      <c r="F232" s="3" t="s">
        <v>50</v>
      </c>
      <c r="G232" s="3" t="s">
        <v>60</v>
      </c>
      <c r="H232" s="3" t="s">
        <v>78</v>
      </c>
      <c r="I232" s="5">
        <v>45461.71</v>
      </c>
      <c r="J232" s="5">
        <v>0</v>
      </c>
      <c r="K232" s="3" t="s">
        <v>45</v>
      </c>
      <c r="L232" s="3" t="s">
        <v>53</v>
      </c>
    </row>
    <row r="233" spans="1:12">
      <c r="A233" s="3" t="s">
        <v>313</v>
      </c>
      <c r="B233" s="4">
        <v>46290</v>
      </c>
      <c r="C233" s="3" t="s">
        <v>40</v>
      </c>
      <c r="D233" s="3" t="s">
        <v>40</v>
      </c>
      <c r="E233" s="3" t="s">
        <v>49</v>
      </c>
      <c r="F233" s="3" t="s">
        <v>56</v>
      </c>
      <c r="G233" s="3" t="s">
        <v>51</v>
      </c>
      <c r="H233" s="3" t="s">
        <v>30</v>
      </c>
      <c r="I233" s="5">
        <v>6526.47</v>
      </c>
      <c r="J233" s="5">
        <v>81.63</v>
      </c>
      <c r="K233" s="3" t="s">
        <v>45</v>
      </c>
      <c r="L233" s="3" t="s">
        <v>53</v>
      </c>
    </row>
    <row r="234" spans="1:12">
      <c r="A234" s="3" t="s">
        <v>314</v>
      </c>
      <c r="B234" s="4">
        <v>45804</v>
      </c>
      <c r="C234" s="3" t="s">
        <v>73</v>
      </c>
      <c r="D234" s="3" t="s">
        <v>74</v>
      </c>
      <c r="E234" s="3" t="s">
        <v>64</v>
      </c>
      <c r="F234" s="3" t="s">
        <v>69</v>
      </c>
      <c r="G234" s="3" t="s">
        <v>60</v>
      </c>
      <c r="H234" s="3" t="s">
        <v>78</v>
      </c>
      <c r="I234" s="5">
        <v>68307.13</v>
      </c>
      <c r="J234" s="5">
        <v>0</v>
      </c>
      <c r="K234" s="3" t="s">
        <v>45</v>
      </c>
      <c r="L234" s="3" t="s">
        <v>65</v>
      </c>
    </row>
    <row r="235" spans="1:12">
      <c r="A235" s="3" t="s">
        <v>315</v>
      </c>
      <c r="B235" s="4">
        <v>45802</v>
      </c>
      <c r="C235" s="3" t="s">
        <v>67</v>
      </c>
      <c r="D235" s="3" t="s">
        <v>68</v>
      </c>
      <c r="E235" s="3" t="s">
        <v>49</v>
      </c>
      <c r="F235" s="3" t="s">
        <v>56</v>
      </c>
      <c r="G235" s="3" t="s">
        <v>83</v>
      </c>
      <c r="H235" s="3" t="s">
        <v>61</v>
      </c>
      <c r="I235" s="5">
        <v>100020.21</v>
      </c>
      <c r="J235" s="5">
        <v>114</v>
      </c>
      <c r="K235" s="3" t="s">
        <v>45</v>
      </c>
      <c r="L235" s="3" t="s">
        <v>75</v>
      </c>
    </row>
    <row r="236" spans="1:12">
      <c r="A236" s="3" t="s">
        <v>316</v>
      </c>
      <c r="B236" s="4">
        <v>46091</v>
      </c>
      <c r="C236" s="3" t="s">
        <v>63</v>
      </c>
      <c r="D236" s="3" t="s">
        <v>63</v>
      </c>
      <c r="E236" s="3" t="s">
        <v>49</v>
      </c>
      <c r="F236" s="3" t="s">
        <v>50</v>
      </c>
      <c r="G236" s="3" t="s">
        <v>83</v>
      </c>
      <c r="H236" s="3" t="s">
        <v>52</v>
      </c>
      <c r="I236" s="5">
        <v>5516.37</v>
      </c>
      <c r="J236" s="5">
        <v>65.12</v>
      </c>
      <c r="K236" s="3" t="s">
        <v>45</v>
      </c>
      <c r="L236" s="3" t="s">
        <v>70</v>
      </c>
    </row>
    <row r="237" spans="1:12">
      <c r="A237" s="3" t="s">
        <v>317</v>
      </c>
      <c r="B237" s="4">
        <v>45791</v>
      </c>
      <c r="C237" s="3" t="s">
        <v>63</v>
      </c>
      <c r="D237" s="3" t="s">
        <v>63</v>
      </c>
      <c r="E237" s="3" t="s">
        <v>41</v>
      </c>
      <c r="F237" s="3" t="s">
        <v>50</v>
      </c>
      <c r="G237" s="3" t="s">
        <v>51</v>
      </c>
      <c r="H237" s="3" t="s">
        <v>52</v>
      </c>
      <c r="I237" s="5">
        <v>27687.95</v>
      </c>
      <c r="J237" s="5">
        <v>38.56</v>
      </c>
      <c r="K237" s="3" t="s">
        <v>45</v>
      </c>
      <c r="L237" s="3" t="s">
        <v>57</v>
      </c>
    </row>
    <row r="238" spans="1:12">
      <c r="A238" s="3" t="s">
        <v>318</v>
      </c>
      <c r="B238" s="4">
        <v>45974</v>
      </c>
      <c r="C238" s="3" t="s">
        <v>73</v>
      </c>
      <c r="D238" s="3" t="s">
        <v>74</v>
      </c>
      <c r="E238" s="3" t="s">
        <v>55</v>
      </c>
      <c r="F238" s="3" t="s">
        <v>50</v>
      </c>
      <c r="G238" s="3" t="s">
        <v>51</v>
      </c>
      <c r="H238" s="3" t="s">
        <v>78</v>
      </c>
      <c r="I238" s="5">
        <v>10778.25</v>
      </c>
      <c r="J238" s="5">
        <v>14.81</v>
      </c>
      <c r="K238" s="3" t="s">
        <v>45</v>
      </c>
      <c r="L238" s="3" t="s">
        <v>65</v>
      </c>
    </row>
    <row r="239" spans="1:12">
      <c r="A239" s="3" t="s">
        <v>319</v>
      </c>
      <c r="B239" s="4">
        <v>46283</v>
      </c>
      <c r="C239" s="3" t="s">
        <v>48</v>
      </c>
      <c r="D239" s="3" t="s">
        <v>48</v>
      </c>
      <c r="E239" s="3" t="s">
        <v>55</v>
      </c>
      <c r="F239" s="3" t="s">
        <v>56</v>
      </c>
      <c r="G239" s="3" t="s">
        <v>154</v>
      </c>
      <c r="H239" s="3" t="s">
        <v>30</v>
      </c>
      <c r="I239" s="5">
        <v>26554.94</v>
      </c>
      <c r="J239" s="5">
        <v>34.369999999999997</v>
      </c>
      <c r="K239" s="3" t="s">
        <v>45</v>
      </c>
      <c r="L239" s="3" t="s">
        <v>57</v>
      </c>
    </row>
    <row r="240" spans="1:12">
      <c r="A240" s="3" t="s">
        <v>320</v>
      </c>
      <c r="B240" s="4">
        <v>45683</v>
      </c>
      <c r="C240" s="3" t="s">
        <v>40</v>
      </c>
      <c r="D240" s="3" t="s">
        <v>40</v>
      </c>
      <c r="E240" s="3" t="s">
        <v>77</v>
      </c>
      <c r="F240" s="3" t="s">
        <v>56</v>
      </c>
      <c r="G240" s="3" t="s">
        <v>60</v>
      </c>
      <c r="H240" s="3" t="s">
        <v>52</v>
      </c>
      <c r="I240" s="5">
        <v>73286.03</v>
      </c>
      <c r="J240" s="5">
        <v>0</v>
      </c>
      <c r="K240" s="3" t="s">
        <v>45</v>
      </c>
      <c r="L240" s="3" t="s">
        <v>57</v>
      </c>
    </row>
    <row r="241" spans="1:12">
      <c r="A241" s="3" t="s">
        <v>321</v>
      </c>
      <c r="B241" s="4">
        <v>45952</v>
      </c>
      <c r="C241" s="3" t="s">
        <v>40</v>
      </c>
      <c r="D241" s="3" t="s">
        <v>40</v>
      </c>
      <c r="E241" s="3" t="s">
        <v>64</v>
      </c>
      <c r="F241" s="3" t="s">
        <v>56</v>
      </c>
      <c r="G241" s="3" t="s">
        <v>51</v>
      </c>
      <c r="H241" s="3" t="s">
        <v>78</v>
      </c>
      <c r="I241" s="5">
        <v>635.1</v>
      </c>
      <c r="J241" s="5">
        <v>44.76</v>
      </c>
      <c r="K241" s="3" t="s">
        <v>45</v>
      </c>
      <c r="L241" s="3" t="s">
        <v>53</v>
      </c>
    </row>
    <row r="242" spans="1:12">
      <c r="A242" s="3" t="s">
        <v>322</v>
      </c>
      <c r="B242" s="4">
        <v>46358</v>
      </c>
      <c r="C242" s="3" t="s">
        <v>40</v>
      </c>
      <c r="D242" s="3" t="s">
        <v>40</v>
      </c>
      <c r="E242" s="3" t="s">
        <v>77</v>
      </c>
      <c r="F242" s="3" t="s">
        <v>50</v>
      </c>
      <c r="G242" s="3" t="s">
        <v>43</v>
      </c>
      <c r="H242" s="3" t="s">
        <v>30</v>
      </c>
      <c r="I242" s="5">
        <v>97515.05</v>
      </c>
      <c r="J242" s="5">
        <v>0</v>
      </c>
      <c r="K242" s="3" t="s">
        <v>45</v>
      </c>
      <c r="L242" s="3" t="s">
        <v>53</v>
      </c>
    </row>
    <row r="243" spans="1:12">
      <c r="A243" s="3" t="s">
        <v>323</v>
      </c>
      <c r="B243" s="4">
        <v>45727</v>
      </c>
      <c r="C243" s="3" t="s">
        <v>48</v>
      </c>
      <c r="D243" s="3" t="s">
        <v>48</v>
      </c>
      <c r="E243" s="3" t="s">
        <v>49</v>
      </c>
      <c r="F243" s="3" t="s">
        <v>50</v>
      </c>
      <c r="G243" s="3" t="s">
        <v>51</v>
      </c>
      <c r="H243" s="3" t="s">
        <v>30</v>
      </c>
      <c r="I243" s="5">
        <v>5289.32</v>
      </c>
      <c r="J243" s="5">
        <v>25.86</v>
      </c>
      <c r="K243" s="3" t="s">
        <v>45</v>
      </c>
      <c r="L243" s="3" t="s">
        <v>75</v>
      </c>
    </row>
    <row r="244" spans="1:12">
      <c r="A244" s="3" t="s">
        <v>324</v>
      </c>
      <c r="B244" s="4">
        <v>45741</v>
      </c>
      <c r="C244" s="3" t="s">
        <v>73</v>
      </c>
      <c r="D244" s="3" t="s">
        <v>74</v>
      </c>
      <c r="E244" s="3" t="s">
        <v>64</v>
      </c>
      <c r="F244" s="3" t="s">
        <v>69</v>
      </c>
      <c r="G244" s="3" t="s">
        <v>60</v>
      </c>
      <c r="H244" s="3" t="s">
        <v>30</v>
      </c>
      <c r="I244" s="5">
        <v>21666.03</v>
      </c>
      <c r="J244" s="5">
        <v>0</v>
      </c>
      <c r="K244" s="3" t="s">
        <v>84</v>
      </c>
      <c r="L244" s="3" t="s">
        <v>53</v>
      </c>
    </row>
    <row r="245" spans="1:12">
      <c r="A245" s="3" t="s">
        <v>325</v>
      </c>
      <c r="B245" s="4">
        <v>46248</v>
      </c>
      <c r="C245" s="3" t="s">
        <v>40</v>
      </c>
      <c r="D245" s="3" t="s">
        <v>40</v>
      </c>
      <c r="E245" s="3" t="s">
        <v>49</v>
      </c>
      <c r="F245" s="3" t="s">
        <v>50</v>
      </c>
      <c r="G245" s="3" t="s">
        <v>51</v>
      </c>
      <c r="H245" s="3" t="s">
        <v>52</v>
      </c>
      <c r="I245" s="5">
        <v>2600.75</v>
      </c>
      <c r="J245" s="5">
        <v>25.48</v>
      </c>
      <c r="K245" s="3" t="s">
        <v>45</v>
      </c>
      <c r="L245" s="3" t="s">
        <v>46</v>
      </c>
    </row>
    <row r="246" spans="1:12">
      <c r="A246" s="3" t="s">
        <v>326</v>
      </c>
      <c r="B246" s="4">
        <v>45922</v>
      </c>
      <c r="C246" s="3" t="s">
        <v>48</v>
      </c>
      <c r="D246" s="3" t="s">
        <v>48</v>
      </c>
      <c r="E246" s="3" t="s">
        <v>55</v>
      </c>
      <c r="F246" s="3" t="s">
        <v>69</v>
      </c>
      <c r="G246" s="3" t="s">
        <v>60</v>
      </c>
      <c r="H246" s="3" t="s">
        <v>61</v>
      </c>
      <c r="I246" s="5">
        <v>52258.25</v>
      </c>
      <c r="J246" s="5">
        <v>0</v>
      </c>
      <c r="K246" s="3" t="s">
        <v>45</v>
      </c>
      <c r="L246" s="3" t="s">
        <v>57</v>
      </c>
    </row>
    <row r="247" spans="1:12">
      <c r="A247" s="3" t="s">
        <v>327</v>
      </c>
      <c r="B247" s="4">
        <v>45681</v>
      </c>
      <c r="C247" s="3" t="s">
        <v>40</v>
      </c>
      <c r="D247" s="3" t="s">
        <v>40</v>
      </c>
      <c r="E247" s="3" t="s">
        <v>64</v>
      </c>
      <c r="F247" s="3" t="s">
        <v>56</v>
      </c>
      <c r="G247" s="3" t="s">
        <v>60</v>
      </c>
      <c r="H247" s="3" t="s">
        <v>52</v>
      </c>
      <c r="I247" s="5">
        <v>7592.37</v>
      </c>
      <c r="J247" s="5">
        <v>0</v>
      </c>
      <c r="K247" s="3" t="s">
        <v>45</v>
      </c>
      <c r="L247" s="3" t="s">
        <v>57</v>
      </c>
    </row>
    <row r="248" spans="1:12">
      <c r="A248" s="3" t="s">
        <v>328</v>
      </c>
      <c r="B248" s="4">
        <v>46136</v>
      </c>
      <c r="C248" s="3" t="s">
        <v>40</v>
      </c>
      <c r="D248" s="3" t="s">
        <v>40</v>
      </c>
      <c r="E248" s="3" t="s">
        <v>55</v>
      </c>
      <c r="F248" s="3" t="s">
        <v>50</v>
      </c>
      <c r="G248" s="3" t="s">
        <v>60</v>
      </c>
      <c r="H248" s="3" t="s">
        <v>78</v>
      </c>
      <c r="I248" s="5">
        <v>10797.28</v>
      </c>
      <c r="J248" s="5">
        <v>0</v>
      </c>
      <c r="K248" s="3" t="s">
        <v>45</v>
      </c>
      <c r="L248" s="3" t="s">
        <v>57</v>
      </c>
    </row>
    <row r="249" spans="1:12">
      <c r="A249" s="3" t="s">
        <v>329</v>
      </c>
      <c r="B249" s="4">
        <v>45972</v>
      </c>
      <c r="C249" s="3" t="s">
        <v>48</v>
      </c>
      <c r="D249" s="3" t="s">
        <v>48</v>
      </c>
      <c r="E249" s="3" t="s">
        <v>77</v>
      </c>
      <c r="F249" s="3" t="s">
        <v>69</v>
      </c>
      <c r="G249" s="3" t="s">
        <v>60</v>
      </c>
      <c r="H249" s="3" t="s">
        <v>78</v>
      </c>
      <c r="I249" s="5">
        <v>43434.41</v>
      </c>
      <c r="J249" s="5">
        <v>0</v>
      </c>
      <c r="K249" s="3" t="s">
        <v>45</v>
      </c>
      <c r="L249" s="3" t="s">
        <v>53</v>
      </c>
    </row>
    <row r="250" spans="1:12">
      <c r="A250" s="3" t="s">
        <v>330</v>
      </c>
      <c r="B250" s="4">
        <v>45707</v>
      </c>
      <c r="C250" s="3" t="s">
        <v>63</v>
      </c>
      <c r="D250" s="3" t="s">
        <v>63</v>
      </c>
      <c r="E250" s="3" t="s">
        <v>49</v>
      </c>
      <c r="F250" s="3" t="s">
        <v>69</v>
      </c>
      <c r="G250" s="3" t="s">
        <v>43</v>
      </c>
      <c r="H250" s="3" t="s">
        <v>61</v>
      </c>
      <c r="I250" s="5">
        <v>58136.49</v>
      </c>
      <c r="J250" s="5">
        <v>0</v>
      </c>
      <c r="K250" s="3" t="s">
        <v>45</v>
      </c>
      <c r="L250" s="3" t="s">
        <v>75</v>
      </c>
    </row>
    <row r="251" spans="1:12">
      <c r="A251" s="3" t="s">
        <v>331</v>
      </c>
      <c r="B251" s="4">
        <v>46149</v>
      </c>
      <c r="C251" s="3" t="s">
        <v>73</v>
      </c>
      <c r="D251" s="3" t="s">
        <v>74</v>
      </c>
      <c r="E251" s="3" t="s">
        <v>55</v>
      </c>
      <c r="F251" s="3" t="s">
        <v>56</v>
      </c>
      <c r="G251" s="3" t="s">
        <v>83</v>
      </c>
      <c r="H251" s="3" t="s">
        <v>78</v>
      </c>
      <c r="I251" s="5">
        <v>133739.98000000001</v>
      </c>
      <c r="J251" s="5">
        <v>66.77</v>
      </c>
      <c r="K251" s="3" t="s">
        <v>45</v>
      </c>
      <c r="L251" s="3" t="s">
        <v>57</v>
      </c>
    </row>
    <row r="252" spans="1:12">
      <c r="A252" s="3" t="s">
        <v>332</v>
      </c>
      <c r="B252" s="4">
        <v>45878</v>
      </c>
      <c r="C252" s="3" t="s">
        <v>40</v>
      </c>
      <c r="D252" s="3" t="s">
        <v>40</v>
      </c>
      <c r="E252" s="3" t="s">
        <v>49</v>
      </c>
      <c r="F252" s="3" t="s">
        <v>69</v>
      </c>
      <c r="G252" s="3" t="s">
        <v>43</v>
      </c>
      <c r="H252" s="3" t="s">
        <v>30</v>
      </c>
      <c r="I252" s="5">
        <v>10679.44</v>
      </c>
      <c r="J252" s="5">
        <v>0</v>
      </c>
      <c r="K252" s="3" t="s">
        <v>45</v>
      </c>
      <c r="L252" s="3" t="s">
        <v>75</v>
      </c>
    </row>
    <row r="253" spans="1:12">
      <c r="A253" s="3" t="s">
        <v>333</v>
      </c>
      <c r="B253" s="4">
        <v>45915</v>
      </c>
      <c r="C253" s="3" t="s">
        <v>63</v>
      </c>
      <c r="D253" s="3" t="s">
        <v>63</v>
      </c>
      <c r="E253" s="3" t="s">
        <v>77</v>
      </c>
      <c r="F253" s="3" t="s">
        <v>50</v>
      </c>
      <c r="G253" s="3" t="s">
        <v>51</v>
      </c>
      <c r="H253" s="3" t="s">
        <v>52</v>
      </c>
      <c r="I253" s="5">
        <v>20699.919999999998</v>
      </c>
      <c r="J253" s="5">
        <v>40.99</v>
      </c>
      <c r="K253" s="3" t="s">
        <v>45</v>
      </c>
      <c r="L253" s="3" t="s">
        <v>46</v>
      </c>
    </row>
    <row r="254" spans="1:12">
      <c r="A254" s="3" t="s">
        <v>334</v>
      </c>
      <c r="B254" s="4">
        <v>46376</v>
      </c>
      <c r="C254" s="3" t="s">
        <v>63</v>
      </c>
      <c r="D254" s="3" t="s">
        <v>63</v>
      </c>
      <c r="E254" s="3" t="s">
        <v>55</v>
      </c>
      <c r="F254" s="3" t="s">
        <v>56</v>
      </c>
      <c r="G254" s="3" t="s">
        <v>60</v>
      </c>
      <c r="H254" s="3" t="s">
        <v>52</v>
      </c>
      <c r="I254" s="5">
        <v>47012.95</v>
      </c>
      <c r="J254" s="5">
        <v>0</v>
      </c>
      <c r="K254" s="3" t="s">
        <v>45</v>
      </c>
      <c r="L254" s="3" t="s">
        <v>57</v>
      </c>
    </row>
    <row r="255" spans="1:12">
      <c r="A255" s="3" t="s">
        <v>335</v>
      </c>
      <c r="B255" s="4">
        <v>45764</v>
      </c>
      <c r="C255" s="3" t="s">
        <v>67</v>
      </c>
      <c r="D255" s="3" t="s">
        <v>68</v>
      </c>
      <c r="E255" s="3" t="s">
        <v>55</v>
      </c>
      <c r="F255" s="3" t="s">
        <v>69</v>
      </c>
      <c r="G255" s="3" t="s">
        <v>83</v>
      </c>
      <c r="H255" s="3" t="s">
        <v>61</v>
      </c>
      <c r="I255" s="5">
        <v>110984.05</v>
      </c>
      <c r="J255" s="5">
        <v>145.56</v>
      </c>
      <c r="K255" s="3" t="s">
        <v>45</v>
      </c>
      <c r="L255" s="3" t="s">
        <v>65</v>
      </c>
    </row>
    <row r="256" spans="1:12">
      <c r="A256" s="3" t="s">
        <v>336</v>
      </c>
      <c r="B256" s="4">
        <v>45835</v>
      </c>
      <c r="C256" s="3" t="s">
        <v>73</v>
      </c>
      <c r="D256" s="3" t="s">
        <v>74</v>
      </c>
      <c r="E256" s="3" t="s">
        <v>55</v>
      </c>
      <c r="F256" s="3" t="s">
        <v>50</v>
      </c>
      <c r="G256" s="3" t="s">
        <v>51</v>
      </c>
      <c r="H256" s="3" t="s">
        <v>61</v>
      </c>
      <c r="I256" s="5">
        <v>30084.57</v>
      </c>
      <c r="J256" s="5">
        <v>60.28</v>
      </c>
      <c r="K256" s="3" t="s">
        <v>45</v>
      </c>
      <c r="L256" s="3" t="s">
        <v>53</v>
      </c>
    </row>
    <row r="257" spans="1:12">
      <c r="A257" s="3" t="s">
        <v>337</v>
      </c>
      <c r="B257" s="4">
        <v>46365</v>
      </c>
      <c r="C257" s="3" t="s">
        <v>48</v>
      </c>
      <c r="D257" s="3" t="s">
        <v>48</v>
      </c>
      <c r="E257" s="3" t="s">
        <v>49</v>
      </c>
      <c r="F257" s="3" t="s">
        <v>69</v>
      </c>
      <c r="G257" s="3" t="s">
        <v>60</v>
      </c>
      <c r="H257" s="3" t="s">
        <v>30</v>
      </c>
      <c r="I257" s="5">
        <v>18863.39</v>
      </c>
      <c r="J257" s="5">
        <v>0</v>
      </c>
      <c r="K257" s="3" t="s">
        <v>45</v>
      </c>
      <c r="L257" s="3" t="s">
        <v>65</v>
      </c>
    </row>
    <row r="258" spans="1:12">
      <c r="A258" s="3" t="s">
        <v>338</v>
      </c>
      <c r="B258" s="4">
        <v>45752</v>
      </c>
      <c r="C258" s="3" t="s">
        <v>40</v>
      </c>
      <c r="D258" s="3" t="s">
        <v>40</v>
      </c>
      <c r="E258" s="3" t="s">
        <v>77</v>
      </c>
      <c r="F258" s="3" t="s">
        <v>69</v>
      </c>
      <c r="G258" s="3" t="s">
        <v>51</v>
      </c>
      <c r="H258" s="3" t="s">
        <v>30</v>
      </c>
      <c r="I258" s="5">
        <v>5487.69</v>
      </c>
      <c r="J258" s="5">
        <v>42.82</v>
      </c>
      <c r="K258" s="3" t="s">
        <v>45</v>
      </c>
      <c r="L258" s="3" t="s">
        <v>53</v>
      </c>
    </row>
    <row r="259" spans="1:12">
      <c r="A259" s="3" t="s">
        <v>339</v>
      </c>
      <c r="B259" s="4">
        <v>45767</v>
      </c>
      <c r="C259" s="3" t="s">
        <v>48</v>
      </c>
      <c r="D259" s="3" t="s">
        <v>48</v>
      </c>
      <c r="E259" s="3" t="s">
        <v>55</v>
      </c>
      <c r="F259" s="3" t="s">
        <v>69</v>
      </c>
      <c r="G259" s="3" t="s">
        <v>43</v>
      </c>
      <c r="H259" s="3" t="s">
        <v>52</v>
      </c>
      <c r="I259" s="5">
        <v>72057.08</v>
      </c>
      <c r="J259" s="5">
        <v>0</v>
      </c>
      <c r="K259" s="3" t="s">
        <v>45</v>
      </c>
      <c r="L259" s="3" t="s">
        <v>53</v>
      </c>
    </row>
    <row r="260" spans="1:12">
      <c r="A260" s="3" t="s">
        <v>340</v>
      </c>
      <c r="B260" s="4">
        <v>46333</v>
      </c>
      <c r="C260" s="3" t="s">
        <v>48</v>
      </c>
      <c r="D260" s="3" t="s">
        <v>48</v>
      </c>
      <c r="E260" s="3" t="s">
        <v>77</v>
      </c>
      <c r="F260" s="3" t="s">
        <v>69</v>
      </c>
      <c r="G260" s="3" t="s">
        <v>83</v>
      </c>
      <c r="H260" s="3" t="s">
        <v>52</v>
      </c>
      <c r="I260" s="5">
        <v>32334.6</v>
      </c>
      <c r="J260" s="5">
        <v>49.88</v>
      </c>
      <c r="K260" s="3" t="s">
        <v>45</v>
      </c>
      <c r="L260" s="3" t="s">
        <v>75</v>
      </c>
    </row>
    <row r="261" spans="1:12">
      <c r="A261" s="3" t="s">
        <v>341</v>
      </c>
      <c r="B261" s="4">
        <v>46016</v>
      </c>
      <c r="C261" s="3" t="s">
        <v>109</v>
      </c>
      <c r="D261" s="3" t="s">
        <v>63</v>
      </c>
      <c r="E261" s="3" t="s">
        <v>55</v>
      </c>
      <c r="F261" s="3" t="s">
        <v>56</v>
      </c>
      <c r="G261" s="3" t="s">
        <v>83</v>
      </c>
      <c r="H261" s="3" t="s">
        <v>30</v>
      </c>
      <c r="I261" s="5">
        <v>9397.08</v>
      </c>
      <c r="J261" s="5">
        <v>176.77</v>
      </c>
      <c r="K261" s="3" t="s">
        <v>45</v>
      </c>
      <c r="L261" s="3" t="s">
        <v>46</v>
      </c>
    </row>
    <row r="262" spans="1:12">
      <c r="A262" s="3" t="s">
        <v>342</v>
      </c>
      <c r="B262" s="4">
        <v>45659</v>
      </c>
      <c r="C262" s="3" t="s">
        <v>40</v>
      </c>
      <c r="D262" s="3" t="s">
        <v>40</v>
      </c>
      <c r="E262" s="3" t="s">
        <v>64</v>
      </c>
      <c r="F262" s="3" t="s">
        <v>56</v>
      </c>
      <c r="G262" s="3" t="s">
        <v>83</v>
      </c>
      <c r="H262" s="3" t="s">
        <v>30</v>
      </c>
      <c r="I262" s="5">
        <v>138677.28</v>
      </c>
      <c r="J262" s="5">
        <v>74.22</v>
      </c>
      <c r="K262" s="3" t="s">
        <v>45</v>
      </c>
      <c r="L262" s="3" t="s">
        <v>53</v>
      </c>
    </row>
    <row r="263" spans="1:12">
      <c r="A263" s="3" t="s">
        <v>343</v>
      </c>
      <c r="B263" s="4">
        <v>46186</v>
      </c>
      <c r="C263" s="3" t="s">
        <v>40</v>
      </c>
      <c r="D263" s="3" t="s">
        <v>40</v>
      </c>
      <c r="E263" s="3" t="s">
        <v>49</v>
      </c>
      <c r="F263" s="3" t="s">
        <v>56</v>
      </c>
      <c r="G263" s="3" t="s">
        <v>43</v>
      </c>
      <c r="H263" s="3" t="s">
        <v>78</v>
      </c>
      <c r="I263" s="5">
        <v>96977.53</v>
      </c>
      <c r="J263" s="5">
        <v>0</v>
      </c>
      <c r="K263" s="3" t="s">
        <v>84</v>
      </c>
      <c r="L263" s="3" t="s">
        <v>46</v>
      </c>
    </row>
    <row r="264" spans="1:12">
      <c r="A264" s="3" t="s">
        <v>344</v>
      </c>
      <c r="B264" s="4">
        <v>45866</v>
      </c>
      <c r="C264" s="3" t="s">
        <v>67</v>
      </c>
      <c r="D264" s="3" t="s">
        <v>68</v>
      </c>
      <c r="E264" s="3" t="s">
        <v>77</v>
      </c>
      <c r="F264" s="3" t="s">
        <v>69</v>
      </c>
      <c r="G264" s="3" t="s">
        <v>51</v>
      </c>
      <c r="H264" s="3" t="s">
        <v>30</v>
      </c>
      <c r="I264" s="5">
        <v>8864.48</v>
      </c>
      <c r="J264" s="5">
        <v>76.040000000000006</v>
      </c>
      <c r="K264" s="3" t="s">
        <v>45</v>
      </c>
      <c r="L264" s="3" t="s">
        <v>70</v>
      </c>
    </row>
    <row r="265" spans="1:12">
      <c r="A265" s="3" t="s">
        <v>345</v>
      </c>
      <c r="B265" s="4">
        <v>46013</v>
      </c>
      <c r="C265" s="3" t="s">
        <v>48</v>
      </c>
      <c r="D265" s="3" t="s">
        <v>48</v>
      </c>
      <c r="E265" s="3" t="s">
        <v>55</v>
      </c>
      <c r="F265" s="3" t="s">
        <v>56</v>
      </c>
      <c r="G265" s="3" t="s">
        <v>43</v>
      </c>
      <c r="H265" s="3" t="s">
        <v>78</v>
      </c>
      <c r="I265" s="5">
        <v>18864.88</v>
      </c>
      <c r="J265" s="5">
        <v>0</v>
      </c>
      <c r="K265" s="3" t="s">
        <v>45</v>
      </c>
      <c r="L265" s="3" t="s">
        <v>70</v>
      </c>
    </row>
    <row r="266" spans="1:12">
      <c r="A266" s="3" t="s">
        <v>346</v>
      </c>
      <c r="B266" s="4">
        <v>46242</v>
      </c>
      <c r="C266" s="3" t="s">
        <v>73</v>
      </c>
      <c r="D266" s="3" t="s">
        <v>74</v>
      </c>
      <c r="E266" s="3" t="s">
        <v>77</v>
      </c>
      <c r="F266" s="3" t="s">
        <v>56</v>
      </c>
      <c r="G266" s="3" t="s">
        <v>43</v>
      </c>
      <c r="H266" s="3" t="s">
        <v>78</v>
      </c>
      <c r="I266" s="5">
        <v>104247.28</v>
      </c>
      <c r="J266" s="5">
        <v>0</v>
      </c>
      <c r="K266" s="3" t="s">
        <v>84</v>
      </c>
      <c r="L266" s="3" t="s">
        <v>65</v>
      </c>
    </row>
    <row r="267" spans="1:12">
      <c r="A267" s="3" t="s">
        <v>347</v>
      </c>
      <c r="B267" s="4">
        <v>45822</v>
      </c>
      <c r="C267" s="3" t="s">
        <v>73</v>
      </c>
      <c r="D267" s="3" t="s">
        <v>74</v>
      </c>
      <c r="E267" s="3" t="s">
        <v>55</v>
      </c>
      <c r="F267" s="3" t="s">
        <v>50</v>
      </c>
      <c r="G267" s="3" t="s">
        <v>43</v>
      </c>
      <c r="H267" s="3" t="s">
        <v>348</v>
      </c>
      <c r="I267" s="5">
        <v>14462.14</v>
      </c>
      <c r="J267" s="5">
        <v>0</v>
      </c>
      <c r="K267" s="3" t="s">
        <v>45</v>
      </c>
      <c r="L267" s="3" t="s">
        <v>65</v>
      </c>
    </row>
    <row r="268" spans="1:12">
      <c r="A268" s="3" t="s">
        <v>349</v>
      </c>
      <c r="B268" s="4">
        <v>45792</v>
      </c>
      <c r="C268" s="3" t="s">
        <v>73</v>
      </c>
      <c r="D268" s="3" t="s">
        <v>74</v>
      </c>
      <c r="E268" s="3" t="s">
        <v>77</v>
      </c>
      <c r="F268" s="3" t="s">
        <v>50</v>
      </c>
      <c r="G268" s="3" t="s">
        <v>60</v>
      </c>
      <c r="H268" s="3" t="s">
        <v>78</v>
      </c>
      <c r="I268" s="5">
        <v>4111.22</v>
      </c>
      <c r="J268" s="5">
        <v>0</v>
      </c>
      <c r="K268" s="3" t="s">
        <v>84</v>
      </c>
      <c r="L268" s="3" t="s">
        <v>70</v>
      </c>
    </row>
    <row r="269" spans="1:12">
      <c r="A269" s="3" t="s">
        <v>350</v>
      </c>
      <c r="B269" s="4" t="s">
        <v>351</v>
      </c>
      <c r="C269" s="3" t="s">
        <v>40</v>
      </c>
      <c r="D269" s="3" t="s">
        <v>40</v>
      </c>
      <c r="E269" s="3" t="s">
        <v>77</v>
      </c>
      <c r="F269" s="3" t="s">
        <v>50</v>
      </c>
      <c r="G269" s="3" t="s">
        <v>51</v>
      </c>
      <c r="H269" s="3" t="s">
        <v>78</v>
      </c>
      <c r="I269" s="5">
        <v>19508.169999999998</v>
      </c>
      <c r="J269" s="5">
        <v>80.680000000000007</v>
      </c>
      <c r="K269" s="3" t="s">
        <v>45</v>
      </c>
      <c r="L269" s="3" t="s">
        <v>46</v>
      </c>
    </row>
    <row r="270" spans="1:12">
      <c r="A270" s="3" t="s">
        <v>352</v>
      </c>
      <c r="B270" s="4">
        <v>45937</v>
      </c>
      <c r="C270" s="3" t="s">
        <v>73</v>
      </c>
      <c r="D270" s="3" t="s">
        <v>74</v>
      </c>
      <c r="E270" s="3" t="s">
        <v>77</v>
      </c>
      <c r="F270" s="3" t="s">
        <v>42</v>
      </c>
      <c r="G270" s="3" t="s">
        <v>43</v>
      </c>
      <c r="H270" s="3" t="s">
        <v>30</v>
      </c>
      <c r="I270" s="5">
        <v>64322.25</v>
      </c>
      <c r="J270" s="5">
        <v>0</v>
      </c>
      <c r="K270" s="3" t="s">
        <v>45</v>
      </c>
      <c r="L270" s="3" t="s">
        <v>46</v>
      </c>
    </row>
    <row r="271" spans="1:12">
      <c r="A271" s="3" t="s">
        <v>353</v>
      </c>
      <c r="B271" s="4">
        <v>45694</v>
      </c>
      <c r="C271" s="3" t="s">
        <v>40</v>
      </c>
      <c r="D271" s="3" t="s">
        <v>40</v>
      </c>
      <c r="E271" s="3" t="s">
        <v>49</v>
      </c>
      <c r="F271" s="3" t="s">
        <v>56</v>
      </c>
      <c r="G271" s="3" t="s">
        <v>83</v>
      </c>
      <c r="H271" s="3" t="s">
        <v>52</v>
      </c>
      <c r="I271" s="5">
        <v>148251.60999999999</v>
      </c>
      <c r="J271" s="5">
        <v>165.41</v>
      </c>
      <c r="K271" s="3" t="s">
        <v>45</v>
      </c>
      <c r="L271" s="3" t="s">
        <v>75</v>
      </c>
    </row>
    <row r="272" spans="1:12">
      <c r="A272" s="3" t="s">
        <v>354</v>
      </c>
      <c r="B272" s="4">
        <v>46060</v>
      </c>
      <c r="C272" s="3" t="s">
        <v>40</v>
      </c>
      <c r="D272" s="3" t="s">
        <v>40</v>
      </c>
      <c r="E272" s="3" t="s">
        <v>49</v>
      </c>
      <c r="F272" s="3" t="s">
        <v>56</v>
      </c>
      <c r="G272" s="3" t="s">
        <v>43</v>
      </c>
      <c r="H272" s="3" t="s">
        <v>52</v>
      </c>
      <c r="I272" s="5">
        <v>14639.8</v>
      </c>
      <c r="J272" s="5">
        <v>0</v>
      </c>
      <c r="K272" s="3" t="s">
        <v>45</v>
      </c>
      <c r="L272" s="3" t="s">
        <v>70</v>
      </c>
    </row>
    <row r="273" spans="1:12">
      <c r="A273" s="3" t="s">
        <v>355</v>
      </c>
      <c r="B273" s="4">
        <v>45860</v>
      </c>
      <c r="C273" s="3" t="s">
        <v>40</v>
      </c>
      <c r="D273" s="3" t="s">
        <v>40</v>
      </c>
      <c r="E273" s="3" t="s">
        <v>55</v>
      </c>
      <c r="F273" s="3" t="s">
        <v>56</v>
      </c>
      <c r="G273" s="3" t="s">
        <v>60</v>
      </c>
      <c r="H273" s="3" t="s">
        <v>61</v>
      </c>
      <c r="I273" s="5">
        <v>54590.559999999998</v>
      </c>
      <c r="J273" s="5">
        <v>0</v>
      </c>
      <c r="K273" s="3" t="s">
        <v>45</v>
      </c>
      <c r="L273" s="3" t="s">
        <v>70</v>
      </c>
    </row>
    <row r="274" spans="1:12">
      <c r="A274" s="3" t="s">
        <v>356</v>
      </c>
      <c r="B274" s="4">
        <v>45873</v>
      </c>
      <c r="C274" s="3" t="s">
        <v>40</v>
      </c>
      <c r="D274" s="3" t="s">
        <v>40</v>
      </c>
      <c r="E274" s="3" t="s">
        <v>49</v>
      </c>
      <c r="F274" s="3" t="s">
        <v>50</v>
      </c>
      <c r="G274" s="3" t="s">
        <v>60</v>
      </c>
      <c r="H274" s="3" t="s">
        <v>78</v>
      </c>
      <c r="I274" s="5">
        <v>3357.29</v>
      </c>
      <c r="J274" s="5">
        <v>0</v>
      </c>
      <c r="K274" s="3" t="s">
        <v>45</v>
      </c>
      <c r="L274" s="3" t="s">
        <v>53</v>
      </c>
    </row>
    <row r="275" spans="1:12">
      <c r="A275" s="3" t="s">
        <v>357</v>
      </c>
      <c r="B275" s="4">
        <v>46223</v>
      </c>
      <c r="C275" s="3" t="s">
        <v>48</v>
      </c>
      <c r="D275" s="3" t="s">
        <v>48</v>
      </c>
      <c r="E275" s="3" t="s">
        <v>64</v>
      </c>
      <c r="F275" s="3" t="s">
        <v>69</v>
      </c>
      <c r="G275" s="3" t="s">
        <v>43</v>
      </c>
      <c r="H275" s="3" t="s">
        <v>52</v>
      </c>
      <c r="I275" s="5">
        <v>34059.760000000002</v>
      </c>
      <c r="J275" s="5">
        <v>0</v>
      </c>
      <c r="K275" s="3" t="s">
        <v>45</v>
      </c>
      <c r="L275" s="3" t="s">
        <v>53</v>
      </c>
    </row>
    <row r="276" spans="1:12">
      <c r="A276" s="3" t="s">
        <v>358</v>
      </c>
      <c r="B276" s="4">
        <v>45968</v>
      </c>
      <c r="C276" s="3" t="s">
        <v>48</v>
      </c>
      <c r="D276" s="3" t="s">
        <v>48</v>
      </c>
      <c r="E276" s="3" t="s">
        <v>49</v>
      </c>
      <c r="F276" s="3" t="s">
        <v>56</v>
      </c>
      <c r="G276" s="3" t="s">
        <v>83</v>
      </c>
      <c r="H276" s="3" t="s">
        <v>61</v>
      </c>
      <c r="I276" s="5">
        <v>155021.59</v>
      </c>
      <c r="J276" s="5">
        <v>88.56</v>
      </c>
      <c r="K276" s="3" t="s">
        <v>45</v>
      </c>
      <c r="L276" s="3" t="s">
        <v>65</v>
      </c>
    </row>
    <row r="277" spans="1:12">
      <c r="A277" s="3" t="s">
        <v>359</v>
      </c>
      <c r="B277" s="4">
        <v>45864</v>
      </c>
      <c r="C277" s="3" t="s">
        <v>63</v>
      </c>
      <c r="D277" s="3" t="s">
        <v>63</v>
      </c>
      <c r="E277" s="3" t="s">
        <v>49</v>
      </c>
      <c r="F277" s="3" t="s">
        <v>50</v>
      </c>
      <c r="G277" s="3" t="s">
        <v>83</v>
      </c>
      <c r="H277" s="3" t="s">
        <v>61</v>
      </c>
      <c r="I277" s="5">
        <v>175378.21</v>
      </c>
      <c r="J277" s="5">
        <v>101.47</v>
      </c>
      <c r="K277" s="3" t="s">
        <v>45</v>
      </c>
      <c r="L277" s="3" t="s">
        <v>46</v>
      </c>
    </row>
    <row r="278" spans="1:12">
      <c r="A278" s="3" t="s">
        <v>360</v>
      </c>
      <c r="B278" s="4">
        <v>46026</v>
      </c>
      <c r="C278" s="3" t="s">
        <v>73</v>
      </c>
      <c r="D278" s="3" t="s">
        <v>74</v>
      </c>
      <c r="E278" s="3" t="s">
        <v>64</v>
      </c>
      <c r="F278" s="3" t="s">
        <v>50</v>
      </c>
      <c r="G278" s="3" t="s">
        <v>83</v>
      </c>
      <c r="H278" s="3" t="s">
        <v>30</v>
      </c>
      <c r="I278" s="5">
        <v>115717.36</v>
      </c>
      <c r="J278" s="5">
        <v>40.33</v>
      </c>
      <c r="K278" s="3" t="s">
        <v>45</v>
      </c>
      <c r="L278" s="3" t="s">
        <v>46</v>
      </c>
    </row>
    <row r="279" spans="1:12">
      <c r="A279" s="3" t="s">
        <v>361</v>
      </c>
      <c r="B279" s="4">
        <v>45724</v>
      </c>
      <c r="C279" s="3" t="s">
        <v>67</v>
      </c>
      <c r="D279" s="3" t="s">
        <v>68</v>
      </c>
      <c r="E279" s="3" t="s">
        <v>55</v>
      </c>
      <c r="F279" s="3" t="s">
        <v>50</v>
      </c>
      <c r="G279" s="3" t="s">
        <v>60</v>
      </c>
      <c r="H279" s="3" t="s">
        <v>52</v>
      </c>
      <c r="I279" s="5">
        <v>15029.41</v>
      </c>
      <c r="J279" s="5">
        <v>0</v>
      </c>
      <c r="K279" s="3" t="s">
        <v>45</v>
      </c>
      <c r="L279" s="3" t="s">
        <v>53</v>
      </c>
    </row>
    <row r="280" spans="1:12">
      <c r="A280" s="3" t="s">
        <v>362</v>
      </c>
      <c r="B280" s="4">
        <v>45901</v>
      </c>
      <c r="C280" s="3" t="s">
        <v>40</v>
      </c>
      <c r="D280" s="3" t="s">
        <v>40</v>
      </c>
      <c r="E280" s="3" t="s">
        <v>55</v>
      </c>
      <c r="F280" s="3" t="s">
        <v>69</v>
      </c>
      <c r="G280" s="3" t="s">
        <v>83</v>
      </c>
      <c r="H280" s="3" t="s">
        <v>78</v>
      </c>
      <c r="I280" s="5">
        <v>174794.69</v>
      </c>
      <c r="J280" s="5">
        <v>184.31</v>
      </c>
      <c r="K280" s="3" t="s">
        <v>45</v>
      </c>
      <c r="L280" s="3" t="s">
        <v>65</v>
      </c>
    </row>
    <row r="281" spans="1:12">
      <c r="A281" s="3" t="s">
        <v>363</v>
      </c>
      <c r="B281" s="4">
        <v>46312</v>
      </c>
      <c r="C281" s="3" t="s">
        <v>48</v>
      </c>
      <c r="D281" s="3" t="s">
        <v>48</v>
      </c>
      <c r="E281" s="3" t="s">
        <v>55</v>
      </c>
      <c r="F281" s="3" t="s">
        <v>50</v>
      </c>
      <c r="G281" s="3" t="s">
        <v>60</v>
      </c>
      <c r="H281" s="3" t="s">
        <v>78</v>
      </c>
      <c r="I281" s="5">
        <v>25585.52</v>
      </c>
      <c r="J281" s="5">
        <v>0</v>
      </c>
      <c r="K281" s="3" t="s">
        <v>45</v>
      </c>
      <c r="L281" s="3" t="s">
        <v>53</v>
      </c>
    </row>
    <row r="282" spans="1:12">
      <c r="A282" s="3" t="s">
        <v>364</v>
      </c>
      <c r="B282" s="4">
        <v>45818</v>
      </c>
      <c r="C282" s="3" t="s">
        <v>63</v>
      </c>
      <c r="D282" s="3" t="s">
        <v>63</v>
      </c>
      <c r="E282" s="3" t="s">
        <v>64</v>
      </c>
      <c r="F282" s="3" t="s">
        <v>56</v>
      </c>
      <c r="G282" s="3" t="s">
        <v>51</v>
      </c>
      <c r="H282" s="3" t="s">
        <v>78</v>
      </c>
      <c r="I282" s="5">
        <v>8423.94</v>
      </c>
      <c r="J282" s="5">
        <v>89.45</v>
      </c>
      <c r="K282" s="3" t="s">
        <v>45</v>
      </c>
      <c r="L282" s="3" t="s">
        <v>53</v>
      </c>
    </row>
    <row r="283" spans="1:12">
      <c r="A283" s="3" t="s">
        <v>365</v>
      </c>
      <c r="B283" s="4">
        <v>45939</v>
      </c>
      <c r="C283" s="3" t="s">
        <v>48</v>
      </c>
      <c r="D283" s="3" t="s">
        <v>48</v>
      </c>
      <c r="E283" s="3" t="s">
        <v>77</v>
      </c>
      <c r="F283" s="3" t="s">
        <v>50</v>
      </c>
      <c r="G283" s="3" t="s">
        <v>60</v>
      </c>
      <c r="H283" s="3" t="s">
        <v>52</v>
      </c>
      <c r="I283" s="5">
        <v>26202.01</v>
      </c>
      <c r="J283" s="5">
        <v>0</v>
      </c>
      <c r="K283" s="3" t="s">
        <v>45</v>
      </c>
      <c r="L283" s="3" t="s">
        <v>53</v>
      </c>
    </row>
    <row r="284" spans="1:12">
      <c r="A284" s="3" t="s">
        <v>366</v>
      </c>
      <c r="B284" s="4">
        <v>46162</v>
      </c>
      <c r="C284" s="3" t="s">
        <v>73</v>
      </c>
      <c r="D284" s="3" t="s">
        <v>74</v>
      </c>
      <c r="E284" s="3" t="s">
        <v>268</v>
      </c>
      <c r="F284" s="3" t="s">
        <v>69</v>
      </c>
      <c r="G284" s="3" t="s">
        <v>51</v>
      </c>
      <c r="H284" s="3" t="s">
        <v>61</v>
      </c>
      <c r="I284" s="5">
        <v>25158.799999999999</v>
      </c>
      <c r="J284" s="5">
        <v>84.62</v>
      </c>
      <c r="K284" s="3" t="s">
        <v>45</v>
      </c>
      <c r="L284" s="3" t="s">
        <v>70</v>
      </c>
    </row>
    <row r="285" spans="1:12">
      <c r="A285" s="3" t="s">
        <v>367</v>
      </c>
      <c r="B285" s="4">
        <v>45916</v>
      </c>
      <c r="C285" s="3" t="s">
        <v>73</v>
      </c>
      <c r="D285" s="3" t="s">
        <v>74</v>
      </c>
      <c r="E285" s="3" t="s">
        <v>77</v>
      </c>
      <c r="F285" s="3" t="s">
        <v>56</v>
      </c>
      <c r="G285" s="3" t="s">
        <v>83</v>
      </c>
      <c r="H285" s="3" t="s">
        <v>52</v>
      </c>
      <c r="I285" s="5">
        <v>138047.12</v>
      </c>
      <c r="J285" s="5">
        <v>75.73</v>
      </c>
      <c r="K285" s="3" t="s">
        <v>45</v>
      </c>
      <c r="L285" s="3" t="s">
        <v>53</v>
      </c>
    </row>
    <row r="286" spans="1:12">
      <c r="A286" s="3" t="s">
        <v>368</v>
      </c>
      <c r="B286" s="4">
        <v>45778</v>
      </c>
      <c r="C286" s="3" t="s">
        <v>67</v>
      </c>
      <c r="D286" s="3" t="s">
        <v>68</v>
      </c>
      <c r="E286" s="3" t="s">
        <v>55</v>
      </c>
      <c r="F286" s="3" t="s">
        <v>56</v>
      </c>
      <c r="G286" s="3" t="s">
        <v>83</v>
      </c>
      <c r="H286" s="3" t="s">
        <v>61</v>
      </c>
      <c r="I286" s="5">
        <v>5911.09</v>
      </c>
      <c r="J286" s="5">
        <v>41.47</v>
      </c>
      <c r="K286" s="3" t="s">
        <v>45</v>
      </c>
      <c r="L286" s="3" t="s">
        <v>53</v>
      </c>
    </row>
    <row r="287" spans="1:12">
      <c r="A287" s="3" t="s">
        <v>369</v>
      </c>
      <c r="B287" s="4">
        <v>46336</v>
      </c>
      <c r="C287" s="3" t="s">
        <v>67</v>
      </c>
      <c r="D287" s="3" t="s">
        <v>68</v>
      </c>
      <c r="E287" s="3" t="s">
        <v>55</v>
      </c>
      <c r="F287" s="3" t="s">
        <v>69</v>
      </c>
      <c r="G287" s="3" t="s">
        <v>51</v>
      </c>
      <c r="H287" s="3" t="s">
        <v>78</v>
      </c>
      <c r="I287" s="5">
        <v>23625.51</v>
      </c>
      <c r="J287" s="5">
        <v>74.13</v>
      </c>
      <c r="K287" s="3" t="s">
        <v>45</v>
      </c>
      <c r="L287" s="3" t="s">
        <v>53</v>
      </c>
    </row>
    <row r="288" spans="1:12">
      <c r="A288" s="3" t="s">
        <v>370</v>
      </c>
      <c r="B288" s="4">
        <v>45811</v>
      </c>
      <c r="C288" s="3" t="s">
        <v>73</v>
      </c>
      <c r="D288" s="3" t="s">
        <v>74</v>
      </c>
      <c r="E288" s="3" t="s">
        <v>55</v>
      </c>
      <c r="F288" s="3" t="s">
        <v>50</v>
      </c>
      <c r="G288" s="3" t="s">
        <v>60</v>
      </c>
      <c r="H288" s="3" t="s">
        <v>78</v>
      </c>
      <c r="I288" s="5">
        <v>21786.84</v>
      </c>
      <c r="J288" s="5">
        <v>0</v>
      </c>
      <c r="K288" s="3" t="s">
        <v>45</v>
      </c>
      <c r="L288" s="3" t="s">
        <v>57</v>
      </c>
    </row>
    <row r="289" spans="1:12">
      <c r="A289" s="3" t="s">
        <v>371</v>
      </c>
      <c r="B289" s="4">
        <v>45823</v>
      </c>
      <c r="C289" s="3" t="s">
        <v>372</v>
      </c>
      <c r="D289" s="3" t="s">
        <v>68</v>
      </c>
      <c r="E289" s="3" t="s">
        <v>55</v>
      </c>
      <c r="F289" s="3" t="s">
        <v>56</v>
      </c>
      <c r="G289" s="3" t="s">
        <v>60</v>
      </c>
      <c r="H289" s="3" t="s">
        <v>30</v>
      </c>
      <c r="I289" s="5">
        <v>52746.09</v>
      </c>
      <c r="J289" s="5">
        <v>0</v>
      </c>
      <c r="K289" s="3" t="s">
        <v>45</v>
      </c>
      <c r="L289" s="3" t="s">
        <v>70</v>
      </c>
    </row>
    <row r="290" spans="1:12">
      <c r="A290" s="3" t="s">
        <v>373</v>
      </c>
      <c r="B290" s="4">
        <v>46284</v>
      </c>
      <c r="C290" s="3" t="s">
        <v>40</v>
      </c>
      <c r="D290" s="3" t="s">
        <v>40</v>
      </c>
      <c r="E290" s="3" t="s">
        <v>77</v>
      </c>
      <c r="F290" s="3" t="s">
        <v>69</v>
      </c>
      <c r="G290" s="3" t="s">
        <v>43</v>
      </c>
      <c r="H290" s="3" t="s">
        <v>78</v>
      </c>
      <c r="I290" s="5">
        <v>91683.09</v>
      </c>
      <c r="J290" s="5">
        <v>0</v>
      </c>
      <c r="K290" s="3" t="s">
        <v>45</v>
      </c>
      <c r="L290" s="3" t="s">
        <v>70</v>
      </c>
    </row>
    <row r="291" spans="1:12">
      <c r="A291" s="3" t="s">
        <v>374</v>
      </c>
      <c r="B291" s="4">
        <v>45840</v>
      </c>
      <c r="C291" s="3" t="s">
        <v>73</v>
      </c>
      <c r="D291" s="3" t="s">
        <v>74</v>
      </c>
      <c r="E291" s="3" t="s">
        <v>77</v>
      </c>
      <c r="F291" s="3" t="s">
        <v>50</v>
      </c>
      <c r="G291" s="3" t="s">
        <v>60</v>
      </c>
      <c r="H291" s="3" t="s">
        <v>52</v>
      </c>
      <c r="I291" s="5">
        <v>3209.79</v>
      </c>
      <c r="J291" s="5">
        <v>0</v>
      </c>
      <c r="K291" s="3" t="s">
        <v>45</v>
      </c>
      <c r="L291" s="3" t="s">
        <v>65</v>
      </c>
    </row>
    <row r="292" spans="1:12">
      <c r="A292" s="3" t="s">
        <v>375</v>
      </c>
      <c r="B292" s="4">
        <v>45893</v>
      </c>
      <c r="C292" s="3" t="s">
        <v>40</v>
      </c>
      <c r="D292" s="3" t="s">
        <v>40</v>
      </c>
      <c r="E292" s="3" t="s">
        <v>64</v>
      </c>
      <c r="F292" s="3" t="s">
        <v>56</v>
      </c>
      <c r="G292" s="3" t="s">
        <v>60</v>
      </c>
      <c r="H292" s="3" t="s">
        <v>52</v>
      </c>
      <c r="I292" s="5">
        <v>11322.53</v>
      </c>
      <c r="J292" s="5">
        <v>0</v>
      </c>
      <c r="K292" s="3" t="s">
        <v>45</v>
      </c>
      <c r="L292" s="3" t="s">
        <v>46</v>
      </c>
    </row>
    <row r="293" spans="1:12">
      <c r="A293" s="3" t="s">
        <v>376</v>
      </c>
      <c r="B293" s="4">
        <v>46363</v>
      </c>
      <c r="C293" s="3" t="s">
        <v>48</v>
      </c>
      <c r="D293" s="3" t="s">
        <v>48</v>
      </c>
      <c r="E293" s="3" t="s">
        <v>77</v>
      </c>
      <c r="F293" s="3" t="s">
        <v>50</v>
      </c>
      <c r="G293" s="3" t="s">
        <v>60</v>
      </c>
      <c r="H293" s="3" t="s">
        <v>61</v>
      </c>
      <c r="I293" s="5">
        <v>51128.35</v>
      </c>
      <c r="J293" s="5">
        <v>0</v>
      </c>
      <c r="K293" s="3" t="s">
        <v>84</v>
      </c>
      <c r="L293" s="3" t="s">
        <v>53</v>
      </c>
    </row>
    <row r="294" spans="1:12">
      <c r="A294" s="3" t="s">
        <v>377</v>
      </c>
      <c r="B294" s="4">
        <v>45662</v>
      </c>
      <c r="C294" s="3" t="s">
        <v>48</v>
      </c>
      <c r="D294" s="3" t="s">
        <v>48</v>
      </c>
      <c r="E294" s="3" t="s">
        <v>77</v>
      </c>
      <c r="F294" s="3" t="s">
        <v>50</v>
      </c>
      <c r="G294" s="3" t="s">
        <v>51</v>
      </c>
      <c r="H294" s="3" t="s">
        <v>30</v>
      </c>
      <c r="I294" s="5">
        <v>7672.95</v>
      </c>
      <c r="J294" s="5">
        <v>56.27</v>
      </c>
      <c r="K294" s="3" t="s">
        <v>45</v>
      </c>
      <c r="L294" s="3" t="s">
        <v>53</v>
      </c>
    </row>
    <row r="295" spans="1:12">
      <c r="A295" s="3" t="s">
        <v>378</v>
      </c>
      <c r="B295" s="4">
        <v>45911</v>
      </c>
      <c r="C295" s="3" t="s">
        <v>67</v>
      </c>
      <c r="D295" s="3" t="s">
        <v>68</v>
      </c>
      <c r="E295" s="3" t="s">
        <v>49</v>
      </c>
      <c r="F295" s="3" t="s">
        <v>50</v>
      </c>
      <c r="G295" s="3" t="s">
        <v>43</v>
      </c>
      <c r="H295" s="3" t="s">
        <v>52</v>
      </c>
      <c r="I295" s="5">
        <v>28825.06</v>
      </c>
      <c r="J295" s="5">
        <v>0</v>
      </c>
      <c r="K295" s="3" t="s">
        <v>45</v>
      </c>
      <c r="L295" s="3" t="s">
        <v>70</v>
      </c>
    </row>
    <row r="296" spans="1:12">
      <c r="A296" s="3" t="s">
        <v>379</v>
      </c>
      <c r="B296" s="4">
        <v>46133</v>
      </c>
      <c r="C296" s="3" t="s">
        <v>48</v>
      </c>
      <c r="D296" s="3" t="s">
        <v>48</v>
      </c>
      <c r="E296" s="3" t="s">
        <v>64</v>
      </c>
      <c r="F296" s="3" t="s">
        <v>56</v>
      </c>
      <c r="G296" s="3" t="s">
        <v>60</v>
      </c>
      <c r="H296" s="3" t="s">
        <v>52</v>
      </c>
      <c r="I296" s="5">
        <v>24246.71</v>
      </c>
      <c r="J296" s="5">
        <v>0</v>
      </c>
      <c r="K296" s="3" t="s">
        <v>45</v>
      </c>
      <c r="L296" s="3" t="s">
        <v>46</v>
      </c>
    </row>
    <row r="297" spans="1:12">
      <c r="A297" s="3" t="s">
        <v>380</v>
      </c>
      <c r="B297" s="4">
        <v>45804</v>
      </c>
      <c r="C297" s="3" t="s">
        <v>73</v>
      </c>
      <c r="D297" s="3" t="s">
        <v>74</v>
      </c>
      <c r="E297" s="3" t="s">
        <v>55</v>
      </c>
      <c r="F297" s="3" t="s">
        <v>50</v>
      </c>
      <c r="G297" s="3" t="s">
        <v>51</v>
      </c>
      <c r="H297" s="3" t="s">
        <v>78</v>
      </c>
      <c r="I297" s="5">
        <v>20714.400000000001</v>
      </c>
      <c r="J297" s="5">
        <v>68.569999999999993</v>
      </c>
      <c r="K297" s="3" t="s">
        <v>45</v>
      </c>
      <c r="L297" s="3" t="s">
        <v>53</v>
      </c>
    </row>
    <row r="298" spans="1:12">
      <c r="A298" s="3" t="s">
        <v>381</v>
      </c>
      <c r="B298" s="4">
        <v>45932</v>
      </c>
      <c r="C298" s="3" t="s">
        <v>109</v>
      </c>
      <c r="D298" s="3" t="s">
        <v>63</v>
      </c>
      <c r="E298" s="3" t="s">
        <v>77</v>
      </c>
      <c r="F298" s="3" t="s">
        <v>69</v>
      </c>
      <c r="G298" s="3" t="s">
        <v>43</v>
      </c>
      <c r="H298" s="3" t="s">
        <v>78</v>
      </c>
      <c r="I298" s="5">
        <v>91993.48</v>
      </c>
      <c r="J298" s="5">
        <v>0</v>
      </c>
      <c r="K298" s="3" t="s">
        <v>45</v>
      </c>
      <c r="L298" s="3" t="s">
        <v>70</v>
      </c>
    </row>
    <row r="299" spans="1:12">
      <c r="A299" s="3" t="s">
        <v>382</v>
      </c>
      <c r="B299" s="4">
        <v>46092</v>
      </c>
      <c r="C299" s="3" t="s">
        <v>73</v>
      </c>
      <c r="D299" s="3" t="s">
        <v>74</v>
      </c>
      <c r="E299" s="3" t="s">
        <v>49</v>
      </c>
      <c r="F299" s="3" t="s">
        <v>56</v>
      </c>
      <c r="G299" s="3" t="s">
        <v>51</v>
      </c>
      <c r="H299" s="3" t="s">
        <v>78</v>
      </c>
      <c r="I299" s="5">
        <v>28582.77</v>
      </c>
      <c r="J299" s="5">
        <v>19.940000000000001</v>
      </c>
      <c r="K299" s="3" t="s">
        <v>45</v>
      </c>
      <c r="L299" s="3" t="s">
        <v>53</v>
      </c>
    </row>
    <row r="300" spans="1:12">
      <c r="A300" s="3" t="s">
        <v>383</v>
      </c>
      <c r="B300" s="4">
        <v>45738</v>
      </c>
      <c r="C300" s="3" t="s">
        <v>48</v>
      </c>
      <c r="D300" s="3" t="s">
        <v>48</v>
      </c>
      <c r="E300" s="3" t="s">
        <v>49</v>
      </c>
      <c r="F300" s="3" t="s">
        <v>69</v>
      </c>
      <c r="G300" s="3" t="s">
        <v>43</v>
      </c>
      <c r="H300" s="3" t="s">
        <v>78</v>
      </c>
      <c r="I300" s="5">
        <v>85149.01</v>
      </c>
      <c r="J300" s="5">
        <v>0</v>
      </c>
      <c r="K300" s="3" t="s">
        <v>45</v>
      </c>
      <c r="L300" s="3" t="s">
        <v>53</v>
      </c>
    </row>
    <row r="301" spans="1:12">
      <c r="A301" s="3" t="s">
        <v>384</v>
      </c>
      <c r="B301" s="4">
        <v>45953</v>
      </c>
      <c r="C301" s="3" t="s">
        <v>73</v>
      </c>
      <c r="D301" s="3" t="s">
        <v>74</v>
      </c>
      <c r="E301" s="3" t="s">
        <v>64</v>
      </c>
      <c r="F301" s="3" t="s">
        <v>69</v>
      </c>
      <c r="G301" s="3" t="s">
        <v>60</v>
      </c>
      <c r="H301" s="3" t="s">
        <v>61</v>
      </c>
      <c r="I301" s="5">
        <v>14638.22</v>
      </c>
      <c r="J301" s="5">
        <v>0</v>
      </c>
      <c r="K301" s="3" t="s">
        <v>45</v>
      </c>
      <c r="L301" s="3" t="s">
        <v>46</v>
      </c>
    </row>
    <row r="302" spans="1:12">
      <c r="A302" s="3" t="s">
        <v>385</v>
      </c>
      <c r="B302" s="4">
        <v>46028</v>
      </c>
      <c r="C302" s="3" t="s">
        <v>63</v>
      </c>
      <c r="D302" s="3" t="s">
        <v>63</v>
      </c>
      <c r="E302" s="3" t="s">
        <v>64</v>
      </c>
      <c r="F302" s="3" t="s">
        <v>56</v>
      </c>
      <c r="G302" s="3" t="s">
        <v>83</v>
      </c>
      <c r="H302" s="3" t="s">
        <v>30</v>
      </c>
      <c r="I302" s="5">
        <v>168757.97</v>
      </c>
      <c r="J302" s="5">
        <v>43.14</v>
      </c>
      <c r="K302" s="3" t="s">
        <v>45</v>
      </c>
      <c r="L302" s="3" t="s">
        <v>75</v>
      </c>
    </row>
    <row r="303" spans="1:12">
      <c r="A303" s="3" t="s">
        <v>386</v>
      </c>
      <c r="B303" s="4">
        <v>45754</v>
      </c>
      <c r="C303" s="3" t="s">
        <v>63</v>
      </c>
      <c r="D303" s="3" t="s">
        <v>63</v>
      </c>
      <c r="E303" s="3" t="s">
        <v>77</v>
      </c>
      <c r="F303" s="3" t="s">
        <v>50</v>
      </c>
      <c r="G303" s="3" t="s">
        <v>51</v>
      </c>
      <c r="H303" s="3" t="s">
        <v>30</v>
      </c>
      <c r="I303" s="5">
        <v>29951.8</v>
      </c>
      <c r="J303" s="5">
        <v>93.29</v>
      </c>
      <c r="K303" s="3" t="s">
        <v>45</v>
      </c>
      <c r="L303" s="3" t="s">
        <v>57</v>
      </c>
    </row>
    <row r="304" spans="1:12">
      <c r="A304" s="3" t="s">
        <v>387</v>
      </c>
      <c r="B304" s="4">
        <v>45908</v>
      </c>
      <c r="C304" s="3" t="s">
        <v>63</v>
      </c>
      <c r="D304" s="3" t="s">
        <v>63</v>
      </c>
      <c r="E304" s="3" t="s">
        <v>55</v>
      </c>
      <c r="F304" s="3" t="s">
        <v>56</v>
      </c>
      <c r="G304" s="3" t="s">
        <v>60</v>
      </c>
      <c r="H304" s="3" t="s">
        <v>30</v>
      </c>
      <c r="I304" s="5">
        <v>72413.42</v>
      </c>
      <c r="J304" s="5">
        <v>0</v>
      </c>
      <c r="K304" s="3" t="s">
        <v>84</v>
      </c>
      <c r="L304" s="3" t="s">
        <v>53</v>
      </c>
    </row>
    <row r="305" spans="1:12">
      <c r="A305" s="3" t="s">
        <v>388</v>
      </c>
      <c r="B305" s="4">
        <v>46201</v>
      </c>
      <c r="C305" s="3" t="s">
        <v>67</v>
      </c>
      <c r="D305" s="3" t="s">
        <v>68</v>
      </c>
      <c r="E305" s="3" t="s">
        <v>49</v>
      </c>
      <c r="F305" s="3" t="s">
        <v>69</v>
      </c>
      <c r="G305" s="3" t="s">
        <v>51</v>
      </c>
      <c r="H305" s="3" t="s">
        <v>30</v>
      </c>
      <c r="I305" s="5">
        <v>9186.34</v>
      </c>
      <c r="J305" s="5">
        <v>65.53</v>
      </c>
      <c r="K305" s="3" t="s">
        <v>45</v>
      </c>
      <c r="L305" s="3" t="s">
        <v>57</v>
      </c>
    </row>
    <row r="306" spans="1:12">
      <c r="A306" s="3" t="s">
        <v>389</v>
      </c>
      <c r="B306" s="4">
        <v>45917</v>
      </c>
      <c r="C306" s="3" t="s">
        <v>73</v>
      </c>
      <c r="D306" s="3" t="s">
        <v>74</v>
      </c>
      <c r="E306" s="3" t="s">
        <v>49</v>
      </c>
      <c r="F306" s="3" t="s">
        <v>69</v>
      </c>
      <c r="G306" s="3" t="s">
        <v>60</v>
      </c>
      <c r="H306" s="3" t="s">
        <v>52</v>
      </c>
      <c r="I306" s="5">
        <v>21159.59</v>
      </c>
      <c r="J306" s="5">
        <v>0</v>
      </c>
      <c r="K306" s="3" t="s">
        <v>45</v>
      </c>
      <c r="L306" s="3" t="s">
        <v>46</v>
      </c>
    </row>
    <row r="307" spans="1:12">
      <c r="A307" s="3" t="s">
        <v>390</v>
      </c>
      <c r="B307" s="4">
        <v>45793</v>
      </c>
      <c r="C307" s="3" t="s">
        <v>73</v>
      </c>
      <c r="D307" s="3" t="s">
        <v>74</v>
      </c>
      <c r="E307" s="3" t="s">
        <v>49</v>
      </c>
      <c r="F307" s="3" t="s">
        <v>50</v>
      </c>
      <c r="G307" s="3" t="s">
        <v>60</v>
      </c>
      <c r="H307" s="3" t="s">
        <v>61</v>
      </c>
      <c r="I307" s="5">
        <v>14225.53</v>
      </c>
      <c r="J307" s="5">
        <v>0</v>
      </c>
      <c r="K307" s="3" t="s">
        <v>45</v>
      </c>
      <c r="L307" s="3" t="s">
        <v>75</v>
      </c>
    </row>
    <row r="308" spans="1:12">
      <c r="A308" s="3" t="s">
        <v>391</v>
      </c>
      <c r="B308" s="4">
        <v>46023</v>
      </c>
      <c r="C308" s="3" t="s">
        <v>63</v>
      </c>
      <c r="D308" s="3" t="s">
        <v>63</v>
      </c>
      <c r="E308" s="3" t="s">
        <v>77</v>
      </c>
      <c r="F308" s="3" t="s">
        <v>69</v>
      </c>
      <c r="G308" s="3" t="s">
        <v>83</v>
      </c>
      <c r="H308" s="3" t="s">
        <v>52</v>
      </c>
      <c r="I308" s="5">
        <v>76751</v>
      </c>
      <c r="J308" s="5">
        <v>89.2</v>
      </c>
      <c r="K308" s="3" t="s">
        <v>84</v>
      </c>
      <c r="L308" s="3" t="s">
        <v>65</v>
      </c>
    </row>
    <row r="309" spans="1:12">
      <c r="A309" s="3" t="s">
        <v>392</v>
      </c>
      <c r="B309" s="4">
        <v>45924</v>
      </c>
      <c r="C309" s="3" t="s">
        <v>63</v>
      </c>
      <c r="D309" s="3" t="s">
        <v>63</v>
      </c>
      <c r="E309" s="3" t="s">
        <v>77</v>
      </c>
      <c r="F309" s="3" t="s">
        <v>69</v>
      </c>
      <c r="G309" s="3" t="s">
        <v>83</v>
      </c>
      <c r="H309" s="3" t="s">
        <v>52</v>
      </c>
      <c r="I309" s="5">
        <v>5543.83</v>
      </c>
      <c r="J309" s="5">
        <v>123.35</v>
      </c>
      <c r="K309" s="3" t="s">
        <v>84</v>
      </c>
      <c r="L309" s="3" t="s">
        <v>70</v>
      </c>
    </row>
    <row r="310" spans="1:12">
      <c r="A310" s="3" t="s">
        <v>393</v>
      </c>
      <c r="B310" s="4">
        <v>45954</v>
      </c>
      <c r="C310" s="3" t="s">
        <v>63</v>
      </c>
      <c r="D310" s="3" t="s">
        <v>63</v>
      </c>
      <c r="E310" s="3" t="s">
        <v>77</v>
      </c>
      <c r="F310" s="3" t="s">
        <v>56</v>
      </c>
      <c r="G310" s="3" t="s">
        <v>60</v>
      </c>
      <c r="H310" s="3" t="s">
        <v>61</v>
      </c>
      <c r="I310" s="5">
        <v>42615.51</v>
      </c>
      <c r="J310" s="5">
        <v>0</v>
      </c>
      <c r="K310" s="3" t="s">
        <v>45</v>
      </c>
      <c r="L310" s="3" t="s">
        <v>46</v>
      </c>
    </row>
    <row r="311" spans="1:12">
      <c r="A311" s="3" t="s">
        <v>394</v>
      </c>
      <c r="B311" s="4">
        <v>46156</v>
      </c>
      <c r="C311" s="3" t="s">
        <v>40</v>
      </c>
      <c r="D311" s="3" t="s">
        <v>40</v>
      </c>
      <c r="E311" s="3" t="s">
        <v>55</v>
      </c>
      <c r="F311" s="3" t="s">
        <v>50</v>
      </c>
      <c r="G311" s="3" t="s">
        <v>43</v>
      </c>
      <c r="H311" s="3" t="s">
        <v>61</v>
      </c>
      <c r="I311" s="5">
        <v>99748.23</v>
      </c>
      <c r="J311" s="5">
        <v>0</v>
      </c>
      <c r="K311" s="3" t="s">
        <v>45</v>
      </c>
      <c r="L311" s="3" t="s">
        <v>65</v>
      </c>
    </row>
    <row r="312" spans="1:12">
      <c r="A312" s="3" t="s">
        <v>395</v>
      </c>
      <c r="B312" s="4">
        <v>45826</v>
      </c>
      <c r="C312" s="3" t="s">
        <v>40</v>
      </c>
      <c r="D312" s="3" t="s">
        <v>40</v>
      </c>
      <c r="E312" s="3" t="s">
        <v>77</v>
      </c>
      <c r="F312" s="3" t="s">
        <v>56</v>
      </c>
      <c r="G312" s="3" t="s">
        <v>83</v>
      </c>
      <c r="H312" s="3" t="s">
        <v>30</v>
      </c>
      <c r="I312" s="5">
        <v>93723.35</v>
      </c>
      <c r="J312" s="5">
        <v>171.19</v>
      </c>
      <c r="K312" s="3" t="s">
        <v>45</v>
      </c>
      <c r="L312" s="3" t="s">
        <v>70</v>
      </c>
    </row>
    <row r="313" spans="1:12">
      <c r="A313" s="3" t="s">
        <v>396</v>
      </c>
      <c r="B313" s="4">
        <v>45780</v>
      </c>
      <c r="C313" s="3" t="s">
        <v>48</v>
      </c>
      <c r="D313" s="3" t="s">
        <v>48</v>
      </c>
      <c r="E313" s="3" t="s">
        <v>64</v>
      </c>
      <c r="F313" s="3" t="s">
        <v>56</v>
      </c>
      <c r="G313" s="3" t="s">
        <v>60</v>
      </c>
      <c r="H313" s="3" t="s">
        <v>52</v>
      </c>
      <c r="I313" s="5">
        <v>13395.41</v>
      </c>
      <c r="J313" s="5">
        <v>0</v>
      </c>
      <c r="K313" s="3" t="s">
        <v>45</v>
      </c>
      <c r="L313" s="3" t="s">
        <v>70</v>
      </c>
    </row>
    <row r="314" spans="1:12">
      <c r="A314" s="3" t="s">
        <v>397</v>
      </c>
      <c r="B314" s="4">
        <v>46032</v>
      </c>
      <c r="C314" s="3" t="s">
        <v>67</v>
      </c>
      <c r="D314" s="3" t="s">
        <v>68</v>
      </c>
      <c r="E314" s="3" t="s">
        <v>77</v>
      </c>
      <c r="F314" s="3" t="s">
        <v>56</v>
      </c>
      <c r="G314" s="3" t="s">
        <v>60</v>
      </c>
      <c r="H314" s="3" t="s">
        <v>52</v>
      </c>
      <c r="I314" s="5">
        <v>34857.96</v>
      </c>
      <c r="J314" s="5">
        <v>0</v>
      </c>
      <c r="K314" s="3" t="s">
        <v>45</v>
      </c>
      <c r="L314" s="3" t="s">
        <v>75</v>
      </c>
    </row>
    <row r="315" spans="1:12">
      <c r="A315" s="3" t="s">
        <v>398</v>
      </c>
      <c r="B315" s="4">
        <v>45882</v>
      </c>
      <c r="C315" s="3" t="s">
        <v>73</v>
      </c>
      <c r="D315" s="3" t="s">
        <v>74</v>
      </c>
      <c r="E315" s="3" t="s">
        <v>49</v>
      </c>
      <c r="F315" s="3" t="s">
        <v>50</v>
      </c>
      <c r="G315" s="3" t="s">
        <v>60</v>
      </c>
      <c r="H315" s="3" t="s">
        <v>78</v>
      </c>
      <c r="I315" s="5">
        <v>44964.480000000003</v>
      </c>
      <c r="J315" s="5">
        <v>0</v>
      </c>
      <c r="K315" s="3" t="s">
        <v>45</v>
      </c>
      <c r="L315" s="3" t="s">
        <v>46</v>
      </c>
    </row>
    <row r="316" spans="1:12">
      <c r="A316" s="3" t="s">
        <v>399</v>
      </c>
      <c r="B316" s="4">
        <v>45821</v>
      </c>
      <c r="C316" s="3" t="s">
        <v>48</v>
      </c>
      <c r="D316" s="3" t="s">
        <v>48</v>
      </c>
      <c r="E316" s="3" t="s">
        <v>49</v>
      </c>
      <c r="F316" s="3" t="s">
        <v>50</v>
      </c>
      <c r="G316" s="3" t="s">
        <v>51</v>
      </c>
      <c r="H316" s="3" t="s">
        <v>78</v>
      </c>
      <c r="I316" s="5">
        <v>15362.97</v>
      </c>
      <c r="J316" s="5">
        <v>11.87</v>
      </c>
      <c r="K316" s="3" t="s">
        <v>45</v>
      </c>
      <c r="L316" s="3" t="s">
        <v>57</v>
      </c>
    </row>
    <row r="317" spans="1:12">
      <c r="A317" s="3" t="s">
        <v>400</v>
      </c>
      <c r="B317" s="4">
        <v>46224</v>
      </c>
      <c r="C317" s="3" t="s">
        <v>48</v>
      </c>
      <c r="D317" s="3" t="s">
        <v>48</v>
      </c>
      <c r="E317" s="3" t="s">
        <v>55</v>
      </c>
      <c r="F317" s="3" t="s">
        <v>56</v>
      </c>
      <c r="G317" s="3" t="s">
        <v>60</v>
      </c>
      <c r="H317" s="3" t="s">
        <v>30</v>
      </c>
      <c r="I317" s="5">
        <v>66024.52</v>
      </c>
      <c r="J317" s="5">
        <v>0</v>
      </c>
      <c r="K317" s="3" t="s">
        <v>45</v>
      </c>
      <c r="L317" s="3" t="s">
        <v>53</v>
      </c>
    </row>
    <row r="318" spans="1:12">
      <c r="A318" s="3" t="s">
        <v>401</v>
      </c>
      <c r="B318" s="4">
        <v>45742</v>
      </c>
      <c r="C318" s="3" t="s">
        <v>67</v>
      </c>
      <c r="D318" s="3" t="s">
        <v>68</v>
      </c>
      <c r="E318" s="3" t="s">
        <v>64</v>
      </c>
      <c r="F318" s="3" t="s">
        <v>56</v>
      </c>
      <c r="G318" s="3" t="s">
        <v>43</v>
      </c>
      <c r="H318" s="3" t="s">
        <v>61</v>
      </c>
      <c r="I318" s="5">
        <v>50021.7</v>
      </c>
      <c r="J318" s="5">
        <v>0</v>
      </c>
      <c r="K318" s="3" t="s">
        <v>45</v>
      </c>
      <c r="L318" s="3" t="s">
        <v>75</v>
      </c>
    </row>
    <row r="319" spans="1:12">
      <c r="A319" s="3" t="s">
        <v>402</v>
      </c>
      <c r="B319" s="4">
        <v>45692</v>
      </c>
      <c r="C319" s="3" t="s">
        <v>40</v>
      </c>
      <c r="D319" s="3" t="s">
        <v>40</v>
      </c>
      <c r="E319" s="3" t="s">
        <v>55</v>
      </c>
      <c r="F319" s="3" t="s">
        <v>56</v>
      </c>
      <c r="G319" s="3" t="s">
        <v>60</v>
      </c>
      <c r="H319" s="3" t="s">
        <v>30</v>
      </c>
      <c r="I319" s="5">
        <v>2076.13</v>
      </c>
      <c r="J319" s="5">
        <v>0</v>
      </c>
      <c r="K319" s="3" t="s">
        <v>45</v>
      </c>
      <c r="L319" s="3" t="s">
        <v>57</v>
      </c>
    </row>
    <row r="320" spans="1:12">
      <c r="A320" s="3" t="s">
        <v>403</v>
      </c>
      <c r="B320" s="4">
        <v>46276</v>
      </c>
      <c r="C320" s="3" t="s">
        <v>73</v>
      </c>
      <c r="D320" s="3" t="s">
        <v>74</v>
      </c>
      <c r="E320" s="3" t="s">
        <v>49</v>
      </c>
      <c r="F320" s="3" t="s">
        <v>69</v>
      </c>
      <c r="G320" s="3" t="s">
        <v>60</v>
      </c>
      <c r="H320" s="3" t="s">
        <v>404</v>
      </c>
      <c r="I320" s="5">
        <v>10656.41</v>
      </c>
      <c r="J320" s="5">
        <v>0</v>
      </c>
      <c r="K320" s="3" t="s">
        <v>45</v>
      </c>
      <c r="L320" s="3" t="s">
        <v>53</v>
      </c>
    </row>
    <row r="321" spans="1:12">
      <c r="A321" s="3" t="s">
        <v>405</v>
      </c>
      <c r="B321" s="4">
        <v>45826</v>
      </c>
      <c r="C321" s="3" t="s">
        <v>40</v>
      </c>
      <c r="D321" s="3" t="s">
        <v>40</v>
      </c>
      <c r="E321" s="3" t="s">
        <v>49</v>
      </c>
      <c r="F321" s="3" t="s">
        <v>69</v>
      </c>
      <c r="G321" s="3" t="s">
        <v>51</v>
      </c>
      <c r="H321" s="3" t="s">
        <v>52</v>
      </c>
      <c r="I321" s="5">
        <v>25781.84</v>
      </c>
      <c r="J321" s="5">
        <v>38.61</v>
      </c>
      <c r="K321" s="3" t="s">
        <v>45</v>
      </c>
      <c r="L321" s="3" t="s">
        <v>70</v>
      </c>
    </row>
    <row r="322" spans="1:12">
      <c r="A322" s="3" t="s">
        <v>62</v>
      </c>
      <c r="B322" s="4">
        <v>45671</v>
      </c>
      <c r="C322" s="3" t="s">
        <v>63</v>
      </c>
      <c r="D322" s="3" t="s">
        <v>63</v>
      </c>
      <c r="E322" s="3" t="s">
        <v>64</v>
      </c>
      <c r="F322" s="3" t="s">
        <v>56</v>
      </c>
      <c r="G322" s="3" t="s">
        <v>43</v>
      </c>
      <c r="H322" s="3" t="s">
        <v>30</v>
      </c>
      <c r="I322" s="5">
        <v>84865.27</v>
      </c>
      <c r="J322" s="5">
        <v>0</v>
      </c>
      <c r="K322" s="3" t="s">
        <v>45</v>
      </c>
      <c r="L322" s="3" t="s">
        <v>65</v>
      </c>
    </row>
    <row r="323" spans="1:12">
      <c r="A323" s="3" t="s">
        <v>93</v>
      </c>
      <c r="B323" s="4">
        <v>45826</v>
      </c>
      <c r="C323" s="3" t="s">
        <v>73</v>
      </c>
      <c r="D323" s="3" t="s">
        <v>74</v>
      </c>
      <c r="E323" s="3" t="s">
        <v>64</v>
      </c>
      <c r="F323" s="3" t="s">
        <v>50</v>
      </c>
      <c r="G323" s="3" t="s">
        <v>60</v>
      </c>
      <c r="H323" s="3" t="s">
        <v>61</v>
      </c>
      <c r="I323" s="5">
        <v>48273.63</v>
      </c>
      <c r="J323" s="5">
        <v>0</v>
      </c>
      <c r="K323" s="3" t="s">
        <v>45</v>
      </c>
      <c r="L323" s="3" t="s">
        <v>75</v>
      </c>
    </row>
    <row r="324" spans="1:12">
      <c r="A324" s="3" t="s">
        <v>113</v>
      </c>
      <c r="B324" s="4">
        <v>45753</v>
      </c>
      <c r="C324" s="3" t="s">
        <v>48</v>
      </c>
      <c r="D324" s="3" t="s">
        <v>48</v>
      </c>
      <c r="E324" s="3" t="s">
        <v>55</v>
      </c>
      <c r="F324" s="3" t="s">
        <v>56</v>
      </c>
      <c r="G324" s="3" t="s">
        <v>51</v>
      </c>
      <c r="H324" s="3" t="s">
        <v>61</v>
      </c>
      <c r="I324" s="5">
        <v>3240.83</v>
      </c>
      <c r="J324" s="5">
        <v>17.420000000000002</v>
      </c>
      <c r="K324" s="3" t="s">
        <v>45</v>
      </c>
      <c r="L324" s="3" t="s">
        <v>46</v>
      </c>
    </row>
    <row r="325" spans="1:12">
      <c r="A325" s="3" t="s">
        <v>142</v>
      </c>
      <c r="B325" s="4">
        <v>46289</v>
      </c>
      <c r="C325" s="3" t="s">
        <v>48</v>
      </c>
      <c r="D325" s="3" t="s">
        <v>48</v>
      </c>
      <c r="E325" s="3" t="s">
        <v>77</v>
      </c>
      <c r="F325" s="3" t="s">
        <v>69</v>
      </c>
      <c r="G325" s="3" t="s">
        <v>60</v>
      </c>
      <c r="H325" s="3" t="s">
        <v>52</v>
      </c>
      <c r="I325" s="5">
        <v>12007.08</v>
      </c>
      <c r="J325" s="5">
        <v>0</v>
      </c>
      <c r="K325" s="3" t="s">
        <v>45</v>
      </c>
      <c r="L325" s="3" t="s">
        <v>46</v>
      </c>
    </row>
    <row r="326" spans="1:12">
      <c r="A326" s="3" t="s">
        <v>167</v>
      </c>
      <c r="B326" s="4">
        <v>45856</v>
      </c>
      <c r="C326" s="3" t="s">
        <v>48</v>
      </c>
      <c r="D326" s="3" t="s">
        <v>48</v>
      </c>
      <c r="E326" s="3" t="s">
        <v>64</v>
      </c>
      <c r="F326" s="3" t="s">
        <v>56</v>
      </c>
      <c r="G326" s="3" t="s">
        <v>60</v>
      </c>
      <c r="H326" s="3" t="s">
        <v>78</v>
      </c>
      <c r="I326" s="5">
        <v>30242.3</v>
      </c>
      <c r="J326" s="5">
        <v>0</v>
      </c>
      <c r="K326" s="3" t="s">
        <v>45</v>
      </c>
      <c r="L326" s="3" t="s">
        <v>70</v>
      </c>
    </row>
    <row r="327" spans="1:12">
      <c r="A327" s="3" t="s">
        <v>192</v>
      </c>
      <c r="B327" s="4">
        <v>45684</v>
      </c>
      <c r="C327" s="3" t="s">
        <v>63</v>
      </c>
      <c r="D327" s="3" t="s">
        <v>63</v>
      </c>
      <c r="E327" s="3" t="s">
        <v>64</v>
      </c>
      <c r="F327" s="3" t="s">
        <v>56</v>
      </c>
      <c r="G327" s="3" t="s">
        <v>83</v>
      </c>
      <c r="H327" s="3" t="s">
        <v>61</v>
      </c>
      <c r="I327" s="5">
        <v>151625.26</v>
      </c>
      <c r="J327" s="5">
        <v>120.31</v>
      </c>
      <c r="K327" s="3" t="s">
        <v>45</v>
      </c>
      <c r="L327" s="3" t="s">
        <v>46</v>
      </c>
    </row>
    <row r="328" spans="1:12">
      <c r="A328" s="3" t="s">
        <v>216</v>
      </c>
      <c r="B328" s="4">
        <v>46054</v>
      </c>
      <c r="C328" s="3" t="s">
        <v>40</v>
      </c>
      <c r="D328" s="3" t="s">
        <v>40</v>
      </c>
      <c r="E328" s="3" t="s">
        <v>49</v>
      </c>
      <c r="F328" s="3" t="s">
        <v>50</v>
      </c>
      <c r="G328" s="3" t="s">
        <v>83</v>
      </c>
      <c r="H328" s="3" t="s">
        <v>78</v>
      </c>
      <c r="I328" s="5">
        <v>112376.09</v>
      </c>
      <c r="J328" s="5">
        <v>34.75</v>
      </c>
      <c r="K328" s="3" t="s">
        <v>45</v>
      </c>
      <c r="L328" s="3" t="s">
        <v>70</v>
      </c>
    </row>
    <row r="329" spans="1:12">
      <c r="A329" s="3" t="s">
        <v>242</v>
      </c>
      <c r="B329" s="4">
        <v>45697</v>
      </c>
      <c r="C329" s="3" t="s">
        <v>73</v>
      </c>
      <c r="D329" s="3" t="s">
        <v>74</v>
      </c>
      <c r="E329" s="3" t="s">
        <v>49</v>
      </c>
      <c r="F329" s="3" t="s">
        <v>56</v>
      </c>
      <c r="G329" s="3" t="s">
        <v>51</v>
      </c>
      <c r="H329" s="3" t="s">
        <v>78</v>
      </c>
      <c r="I329" s="5">
        <v>28546.38</v>
      </c>
      <c r="J329" s="5">
        <v>60.66</v>
      </c>
      <c r="K329" s="3" t="s">
        <v>45</v>
      </c>
      <c r="L329" s="3" t="s">
        <v>65</v>
      </c>
    </row>
    <row r="330" spans="1:12">
      <c r="A330" s="3" t="s">
        <v>269</v>
      </c>
      <c r="B330" s="4">
        <v>46347</v>
      </c>
      <c r="C330" s="3" t="s">
        <v>40</v>
      </c>
      <c r="D330" s="3" t="s">
        <v>40</v>
      </c>
      <c r="E330" s="3" t="s">
        <v>55</v>
      </c>
      <c r="F330" s="3" t="s">
        <v>50</v>
      </c>
      <c r="G330" s="3" t="s">
        <v>43</v>
      </c>
      <c r="H330" s="3" t="s">
        <v>30</v>
      </c>
      <c r="I330" s="5">
        <v>82152.72</v>
      </c>
      <c r="J330" s="5">
        <v>0</v>
      </c>
      <c r="K330" s="3" t="s">
        <v>45</v>
      </c>
      <c r="L330" s="3" t="s">
        <v>46</v>
      </c>
    </row>
    <row r="331" spans="1:12">
      <c r="A331" s="3" t="s">
        <v>297</v>
      </c>
      <c r="B331" s="4">
        <v>46120</v>
      </c>
      <c r="C331" s="3" t="s">
        <v>63</v>
      </c>
      <c r="D331" s="3" t="s">
        <v>63</v>
      </c>
      <c r="E331" s="3" t="s">
        <v>55</v>
      </c>
      <c r="F331" s="3" t="s">
        <v>69</v>
      </c>
      <c r="G331" s="3" t="s">
        <v>43</v>
      </c>
      <c r="H331" s="3" t="s">
        <v>52</v>
      </c>
      <c r="I331" s="5">
        <v>74348.820000000007</v>
      </c>
      <c r="J331" s="5">
        <v>0</v>
      </c>
      <c r="K331" s="3" t="s">
        <v>45</v>
      </c>
      <c r="L331" s="3" t="s">
        <v>65</v>
      </c>
    </row>
    <row r="332" spans="1:12">
      <c r="A332" s="3" t="s">
        <v>330</v>
      </c>
      <c r="B332" s="4">
        <v>45707</v>
      </c>
      <c r="C332" s="3" t="s">
        <v>63</v>
      </c>
      <c r="D332" s="3" t="s">
        <v>63</v>
      </c>
      <c r="E332" s="3" t="s">
        <v>49</v>
      </c>
      <c r="F332" s="3" t="s">
        <v>69</v>
      </c>
      <c r="G332" s="3" t="s">
        <v>43</v>
      </c>
      <c r="H332" s="3" t="s">
        <v>61</v>
      </c>
      <c r="I332" s="5">
        <v>58136.49</v>
      </c>
      <c r="J332" s="5">
        <v>0</v>
      </c>
      <c r="K332" s="3" t="s">
        <v>45</v>
      </c>
      <c r="L332" s="3" t="s">
        <v>75</v>
      </c>
    </row>
    <row r="333" spans="1:12">
      <c r="A333" s="3" t="s">
        <v>359</v>
      </c>
      <c r="B333" s="4">
        <v>45864</v>
      </c>
      <c r="C333" s="3" t="s">
        <v>63</v>
      </c>
      <c r="D333" s="3" t="s">
        <v>63</v>
      </c>
      <c r="E333" s="3" t="s">
        <v>49</v>
      </c>
      <c r="F333" s="3" t="s">
        <v>50</v>
      </c>
      <c r="G333" s="3" t="s">
        <v>83</v>
      </c>
      <c r="H333" s="3" t="s">
        <v>61</v>
      </c>
      <c r="I333" s="5">
        <v>175378.21</v>
      </c>
      <c r="J333" s="5">
        <v>101.47</v>
      </c>
      <c r="K333" s="3" t="s">
        <v>45</v>
      </c>
      <c r="L333" s="3" t="s">
        <v>46</v>
      </c>
    </row>
    <row r="334" spans="1:12">
      <c r="A334" s="3" t="s">
        <v>386</v>
      </c>
      <c r="B334" s="4">
        <v>45754</v>
      </c>
      <c r="C334" s="3" t="s">
        <v>63</v>
      </c>
      <c r="D334" s="3" t="s">
        <v>63</v>
      </c>
      <c r="E334" s="3" t="s">
        <v>77</v>
      </c>
      <c r="F334" s="3" t="s">
        <v>50</v>
      </c>
      <c r="G334" s="3" t="s">
        <v>51</v>
      </c>
      <c r="H334" s="3" t="s">
        <v>30</v>
      </c>
      <c r="I334" s="5">
        <v>29951.8</v>
      </c>
      <c r="J334" s="5">
        <v>93.29</v>
      </c>
      <c r="K334" s="3" t="s">
        <v>45</v>
      </c>
      <c r="L334" s="3" t="s">
        <v>57</v>
      </c>
    </row>
    <row r="335" spans="1:12">
      <c r="A335" s="3" t="s">
        <v>396</v>
      </c>
      <c r="B335" s="4">
        <v>45780</v>
      </c>
      <c r="C335" s="3" t="s">
        <v>48</v>
      </c>
      <c r="D335" s="3" t="s">
        <v>48</v>
      </c>
      <c r="E335" s="3" t="s">
        <v>64</v>
      </c>
      <c r="F335" s="3" t="s">
        <v>56</v>
      </c>
      <c r="G335" s="3" t="s">
        <v>60</v>
      </c>
      <c r="H335" s="3" t="s">
        <v>52</v>
      </c>
      <c r="I335" s="5">
        <v>13395.41</v>
      </c>
      <c r="J335" s="5">
        <v>0</v>
      </c>
      <c r="K335" s="3" t="s">
        <v>45</v>
      </c>
      <c r="L335" s="3" t="s">
        <v>70</v>
      </c>
    </row>
  </sheetData>
  <conditionalFormatting sqref="A2:L335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W321"/>
  <sheetViews>
    <sheetView zoomScale="75" zoomScaleNormal="75" workbookViewId="0">
      <selection activeCell="B2" sqref="B2:B321"/>
    </sheetView>
  </sheetViews>
  <sheetFormatPr defaultRowHeight="14"/>
  <cols>
    <col min="1" max="2" width="19" customWidth="1"/>
    <col min="3" max="3" width="24.08203125" style="21" hidden="1" customWidth="1"/>
    <col min="4" max="4" width="16.75" customWidth="1"/>
    <col min="5" max="5" width="11.33203125" hidden="1" customWidth="1"/>
    <col min="6" max="6" width="19.4140625" customWidth="1"/>
    <col min="7" max="7" width="13.4140625" hidden="1" customWidth="1"/>
    <col min="8" max="8" width="21.6640625" customWidth="1"/>
    <col min="9" max="9" width="15.9140625" hidden="1" customWidth="1"/>
    <col min="10" max="10" width="15.5" customWidth="1"/>
    <col min="11" max="11" width="14.6640625" hidden="1" customWidth="1"/>
    <col min="12" max="12" width="19.1640625" customWidth="1"/>
    <col min="13" max="13" width="0.25" customWidth="1"/>
    <col min="14" max="14" width="17" customWidth="1"/>
    <col min="15" max="15" width="12.4140625" hidden="1" customWidth="1"/>
    <col min="16" max="16" width="18.75" customWidth="1"/>
    <col min="17" max="17" width="10.58203125" customWidth="1"/>
    <col min="18" max="18" width="16.1640625" customWidth="1"/>
    <col min="19" max="19" width="8.203125E-2" hidden="1" customWidth="1"/>
    <col min="20" max="20" width="25.33203125" customWidth="1"/>
  </cols>
  <sheetData>
    <row r="1" spans="1:20" ht="30.5" customHeight="1">
      <c r="A1" s="22" t="s">
        <v>28</v>
      </c>
      <c r="B1" s="22" t="s">
        <v>418</v>
      </c>
      <c r="C1" s="23" t="s">
        <v>29</v>
      </c>
      <c r="D1" s="22" t="s">
        <v>30</v>
      </c>
      <c r="E1" s="22" t="s">
        <v>407</v>
      </c>
      <c r="F1" s="22" t="s">
        <v>31</v>
      </c>
      <c r="G1" s="22" t="s">
        <v>409</v>
      </c>
      <c r="H1" s="22" t="s">
        <v>22</v>
      </c>
      <c r="I1" s="22" t="s">
        <v>410</v>
      </c>
      <c r="J1" s="22" t="s">
        <v>32</v>
      </c>
      <c r="K1" s="22" t="s">
        <v>412</v>
      </c>
      <c r="L1" s="22" t="s">
        <v>413</v>
      </c>
      <c r="M1" s="22" t="s">
        <v>19</v>
      </c>
      <c r="N1" s="22" t="s">
        <v>414</v>
      </c>
      <c r="O1" s="22" t="s">
        <v>33</v>
      </c>
      <c r="P1" s="22" t="s">
        <v>34</v>
      </c>
      <c r="Q1" s="22" t="s">
        <v>35</v>
      </c>
      <c r="R1" s="22" t="s">
        <v>3</v>
      </c>
      <c r="S1" s="22" t="s">
        <v>415</v>
      </c>
      <c r="T1" s="22" t="s">
        <v>416</v>
      </c>
    </row>
    <row r="2" spans="1:20">
      <c r="A2" s="29" t="s">
        <v>37</v>
      </c>
      <c r="B2" s="33" t="str">
        <f t="shared" ref="B2:B65" si="0">TEXT(C:C,"mm-yy")</f>
        <v>10-26</v>
      </c>
      <c r="C2" s="30">
        <v>46306</v>
      </c>
      <c r="D2" s="31" t="str">
        <f t="shared" ref="D2:D65" si="1">PROPER(TRIM(E:E))</f>
        <v>Sukher</v>
      </c>
      <c r="E2" s="29" t="s">
        <v>408</v>
      </c>
      <c r="F2" s="29" t="str">
        <f t="shared" ref="F2:F65" si="2">PROPER(TRIM(G:G))</f>
        <v>Sukher</v>
      </c>
      <c r="G2" s="29" t="s">
        <v>408</v>
      </c>
      <c r="H2" s="29" t="str">
        <f t="shared" ref="H2:H65" si="3">PROPER(TRIM(I:I))</f>
        <v>Retail</v>
      </c>
      <c r="I2" s="29" t="s">
        <v>41</v>
      </c>
      <c r="J2" s="29" t="str">
        <f t="shared" ref="J2:J65" si="4">PROPER(TRIM(K:K))</f>
        <v>Salary</v>
      </c>
      <c r="K2" s="29" t="s">
        <v>42</v>
      </c>
      <c r="L2" s="29" t="str">
        <f t="shared" ref="L2:L65" si="5">PROPER(TRIM(M:M))</f>
        <v>Deposit</v>
      </c>
      <c r="M2" s="29" t="s">
        <v>43</v>
      </c>
      <c r="N2" s="29" t="str">
        <f t="shared" ref="N2:N65" si="6">PROPER(TRIM(O:O))</f>
        <v>Mobile App</v>
      </c>
      <c r="O2" s="29" t="s">
        <v>44</v>
      </c>
      <c r="P2" s="32">
        <v>94009.99</v>
      </c>
      <c r="Q2" s="32">
        <v>0</v>
      </c>
      <c r="R2" s="32" t="str">
        <f t="shared" ref="R2:R65" si="7">PROPER(TRIM(S:S))</f>
        <v>Completed</v>
      </c>
      <c r="S2" s="29" t="s">
        <v>45</v>
      </c>
      <c r="T2" s="29" t="s">
        <v>46</v>
      </c>
    </row>
    <row r="3" spans="1:20">
      <c r="A3" s="29" t="s">
        <v>47</v>
      </c>
      <c r="B3" s="33" t="str">
        <f t="shared" si="0"/>
        <v>05-25</v>
      </c>
      <c r="C3" s="30">
        <v>45781</v>
      </c>
      <c r="D3" s="31" t="str">
        <f t="shared" si="1"/>
        <v>Larkana</v>
      </c>
      <c r="E3" s="29" t="s">
        <v>48</v>
      </c>
      <c r="F3" s="29" t="str">
        <f t="shared" si="2"/>
        <v>Larkana</v>
      </c>
      <c r="G3" s="29" t="s">
        <v>48</v>
      </c>
      <c r="H3" s="29" t="str">
        <f t="shared" si="3"/>
        <v>Premium</v>
      </c>
      <c r="I3" s="29" t="s">
        <v>49</v>
      </c>
      <c r="J3" s="29" t="str">
        <f t="shared" si="4"/>
        <v>Current</v>
      </c>
      <c r="K3" s="29" t="s">
        <v>50</v>
      </c>
      <c r="L3" s="29" t="str">
        <f t="shared" si="5"/>
        <v>Bill Payment</v>
      </c>
      <c r="M3" s="29" t="s">
        <v>51</v>
      </c>
      <c r="N3" s="29" t="str">
        <f t="shared" si="6"/>
        <v>Atm</v>
      </c>
      <c r="O3" s="29" t="s">
        <v>52</v>
      </c>
      <c r="P3" s="32">
        <v>24511.38</v>
      </c>
      <c r="Q3" s="32">
        <v>20.48</v>
      </c>
      <c r="R3" s="32" t="str">
        <f t="shared" si="7"/>
        <v>Completed</v>
      </c>
      <c r="S3" s="29" t="s">
        <v>45</v>
      </c>
      <c r="T3" s="29" t="s">
        <v>53</v>
      </c>
    </row>
    <row r="4" spans="1:20">
      <c r="A4" s="29" t="s">
        <v>54</v>
      </c>
      <c r="B4" s="33" t="str">
        <f t="shared" si="0"/>
        <v>02-25</v>
      </c>
      <c r="C4" s="30">
        <v>45692</v>
      </c>
      <c r="D4" s="31" t="str">
        <f t="shared" si="1"/>
        <v>Sukher</v>
      </c>
      <c r="E4" s="29" t="s">
        <v>408</v>
      </c>
      <c r="F4" s="29" t="str">
        <f t="shared" si="2"/>
        <v>Sukher</v>
      </c>
      <c r="G4" s="29" t="s">
        <v>408</v>
      </c>
      <c r="H4" s="29" t="str">
        <f t="shared" si="3"/>
        <v>Sme</v>
      </c>
      <c r="I4" s="29" t="s">
        <v>55</v>
      </c>
      <c r="J4" s="29" t="str">
        <f t="shared" si="4"/>
        <v>Salary</v>
      </c>
      <c r="K4" s="29" t="s">
        <v>56</v>
      </c>
      <c r="L4" s="29" t="str">
        <f t="shared" si="5"/>
        <v>Deposit</v>
      </c>
      <c r="M4" s="29" t="s">
        <v>43</v>
      </c>
      <c r="N4" s="29" t="str">
        <f t="shared" si="6"/>
        <v>Branch</v>
      </c>
      <c r="O4" s="29" t="s">
        <v>30</v>
      </c>
      <c r="P4" s="32">
        <v>109761.33</v>
      </c>
      <c r="Q4" s="32">
        <v>0</v>
      </c>
      <c r="R4" s="32" t="str">
        <f t="shared" si="7"/>
        <v>Completed</v>
      </c>
      <c r="S4" s="29" t="s">
        <v>45</v>
      </c>
      <c r="T4" s="29" t="s">
        <v>57</v>
      </c>
    </row>
    <row r="5" spans="1:20">
      <c r="A5" s="29" t="s">
        <v>58</v>
      </c>
      <c r="B5" s="33" t="str">
        <f t="shared" si="0"/>
        <v>01-26</v>
      </c>
      <c r="C5" s="30">
        <v>46030</v>
      </c>
      <c r="D5" s="31" t="str">
        <f t="shared" si="1"/>
        <v>Sukher</v>
      </c>
      <c r="E5" s="29" t="s">
        <v>408</v>
      </c>
      <c r="F5" s="29" t="str">
        <f t="shared" si="2"/>
        <v>Sukher</v>
      </c>
      <c r="G5" s="29" t="s">
        <v>408</v>
      </c>
      <c r="H5" s="29" t="str">
        <f t="shared" si="3"/>
        <v>Premium</v>
      </c>
      <c r="I5" s="29" t="s">
        <v>49</v>
      </c>
      <c r="J5" s="29" t="str">
        <f t="shared" si="4"/>
        <v>Salary</v>
      </c>
      <c r="K5" s="29" t="s">
        <v>56</v>
      </c>
      <c r="L5" s="29" t="str">
        <f t="shared" si="5"/>
        <v>Deposit</v>
      </c>
      <c r="M5" s="29" t="s">
        <v>43</v>
      </c>
      <c r="N5" s="29" t="str">
        <f t="shared" si="6"/>
        <v>Branch</v>
      </c>
      <c r="O5" s="29" t="s">
        <v>30</v>
      </c>
      <c r="P5" s="32">
        <v>13565.73</v>
      </c>
      <c r="Q5" s="32">
        <v>0</v>
      </c>
      <c r="R5" s="32" t="str">
        <f t="shared" si="7"/>
        <v>Completed</v>
      </c>
      <c r="S5" s="29" t="s">
        <v>45</v>
      </c>
      <c r="T5" s="29" t="s">
        <v>46</v>
      </c>
    </row>
    <row r="6" spans="1:20">
      <c r="A6" s="29" t="s">
        <v>59</v>
      </c>
      <c r="B6" s="33" t="str">
        <f t="shared" si="0"/>
        <v>07-25</v>
      </c>
      <c r="C6" s="30">
        <v>45851</v>
      </c>
      <c r="D6" s="31" t="str">
        <f t="shared" si="1"/>
        <v>Sukher</v>
      </c>
      <c r="E6" s="29" t="s">
        <v>408</v>
      </c>
      <c r="F6" s="29" t="str">
        <f t="shared" si="2"/>
        <v>Sukher</v>
      </c>
      <c r="G6" s="29" t="s">
        <v>408</v>
      </c>
      <c r="H6" s="29" t="str">
        <f t="shared" si="3"/>
        <v>Premium</v>
      </c>
      <c r="I6" s="29" t="s">
        <v>49</v>
      </c>
      <c r="J6" s="29" t="str">
        <f t="shared" si="4"/>
        <v>Current</v>
      </c>
      <c r="K6" s="29" t="s">
        <v>50</v>
      </c>
      <c r="L6" s="29" t="str">
        <f t="shared" si="5"/>
        <v>Withdrawal</v>
      </c>
      <c r="M6" s="29" t="s">
        <v>60</v>
      </c>
      <c r="N6" s="29" t="str">
        <f t="shared" si="6"/>
        <v>Mobile App</v>
      </c>
      <c r="O6" s="29" t="s">
        <v>61</v>
      </c>
      <c r="P6" s="32">
        <v>8299.52</v>
      </c>
      <c r="Q6" s="32">
        <v>0</v>
      </c>
      <c r="R6" s="32" t="str">
        <f t="shared" si="7"/>
        <v>Completed</v>
      </c>
      <c r="S6" s="29" t="s">
        <v>45</v>
      </c>
      <c r="T6" s="29" t="s">
        <v>53</v>
      </c>
    </row>
    <row r="7" spans="1:20">
      <c r="A7" s="29" t="s">
        <v>62</v>
      </c>
      <c r="B7" s="33" t="str">
        <f t="shared" si="0"/>
        <v>01-25</v>
      </c>
      <c r="C7" s="30">
        <v>45671</v>
      </c>
      <c r="D7" s="31" t="str">
        <f t="shared" si="1"/>
        <v>Hyderabad</v>
      </c>
      <c r="E7" s="29" t="s">
        <v>63</v>
      </c>
      <c r="F7" s="29" t="str">
        <f t="shared" si="2"/>
        <v>Hyderabad</v>
      </c>
      <c r="G7" s="29" t="s">
        <v>63</v>
      </c>
      <c r="H7" s="29" t="str">
        <f t="shared" si="3"/>
        <v>Corporate</v>
      </c>
      <c r="I7" s="29" t="s">
        <v>64</v>
      </c>
      <c r="J7" s="29" t="str">
        <f t="shared" si="4"/>
        <v>Salary</v>
      </c>
      <c r="K7" s="29" t="s">
        <v>56</v>
      </c>
      <c r="L7" s="29" t="str">
        <f t="shared" si="5"/>
        <v>Deposit</v>
      </c>
      <c r="M7" s="29" t="s">
        <v>43</v>
      </c>
      <c r="N7" s="29" t="str">
        <f t="shared" si="6"/>
        <v>Branch</v>
      </c>
      <c r="O7" s="29" t="s">
        <v>30</v>
      </c>
      <c r="P7" s="32">
        <v>84865.27</v>
      </c>
      <c r="Q7" s="32">
        <v>0</v>
      </c>
      <c r="R7" s="32" t="str">
        <f t="shared" si="7"/>
        <v>Completed</v>
      </c>
      <c r="S7" s="29" t="s">
        <v>45</v>
      </c>
      <c r="T7" s="29" t="s">
        <v>65</v>
      </c>
    </row>
    <row r="8" spans="1:20">
      <c r="A8" s="29" t="s">
        <v>66</v>
      </c>
      <c r="B8" s="33" t="str">
        <f t="shared" si="0"/>
        <v>07-26</v>
      </c>
      <c r="C8" s="30">
        <v>46218</v>
      </c>
      <c r="D8" s="31" t="str">
        <f t="shared" si="1"/>
        <v>Nawabshah</v>
      </c>
      <c r="E8" s="29" t="s">
        <v>67</v>
      </c>
      <c r="F8" s="29" t="str">
        <f t="shared" si="2"/>
        <v>Shaheed Benazirabad</v>
      </c>
      <c r="G8" s="29" t="s">
        <v>68</v>
      </c>
      <c r="H8" s="29" t="str">
        <f t="shared" si="3"/>
        <v>Corporate</v>
      </c>
      <c r="I8" s="29" t="s">
        <v>64</v>
      </c>
      <c r="J8" s="29" t="str">
        <f t="shared" si="4"/>
        <v>Savings</v>
      </c>
      <c r="K8" s="29" t="s">
        <v>69</v>
      </c>
      <c r="L8" s="29" t="str">
        <f t="shared" si="5"/>
        <v>Withdrawal</v>
      </c>
      <c r="M8" s="29" t="s">
        <v>60</v>
      </c>
      <c r="N8" s="29" t="str">
        <f t="shared" si="6"/>
        <v>Branch</v>
      </c>
      <c r="O8" s="29" t="s">
        <v>30</v>
      </c>
      <c r="P8" s="32">
        <v>24858.63</v>
      </c>
      <c r="Q8" s="32">
        <v>0</v>
      </c>
      <c r="R8" s="32" t="str">
        <f t="shared" si="7"/>
        <v>Completed</v>
      </c>
      <c r="S8" s="29" t="s">
        <v>45</v>
      </c>
      <c r="T8" s="29" t="s">
        <v>70</v>
      </c>
    </row>
    <row r="9" spans="1:20">
      <c r="A9" s="29" t="s">
        <v>71</v>
      </c>
      <c r="B9" s="33" t="str">
        <f t="shared" si="0"/>
        <v>06-25</v>
      </c>
      <c r="C9" s="30">
        <v>45809</v>
      </c>
      <c r="D9" s="31" t="str">
        <f t="shared" si="1"/>
        <v>Nawabshah</v>
      </c>
      <c r="E9" s="29" t="s">
        <v>67</v>
      </c>
      <c r="F9" s="29" t="str">
        <f t="shared" si="2"/>
        <v>Shaheed Benazirabad</v>
      </c>
      <c r="G9" s="29" t="s">
        <v>68</v>
      </c>
      <c r="H9" s="29" t="str">
        <f t="shared" si="3"/>
        <v>Sme</v>
      </c>
      <c r="I9" s="29" t="s">
        <v>55</v>
      </c>
      <c r="J9" s="29" t="str">
        <f t="shared" si="4"/>
        <v>Salary</v>
      </c>
      <c r="K9" s="29" t="s">
        <v>56</v>
      </c>
      <c r="L9" s="29" t="str">
        <f t="shared" si="5"/>
        <v>Deposit</v>
      </c>
      <c r="M9" s="29" t="s">
        <v>43</v>
      </c>
      <c r="N9" s="29" t="str">
        <f t="shared" si="6"/>
        <v>Branch</v>
      </c>
      <c r="O9" s="29" t="s">
        <v>30</v>
      </c>
      <c r="P9" s="32">
        <v>2855.22</v>
      </c>
      <c r="Q9" s="32">
        <v>0</v>
      </c>
      <c r="R9" s="32" t="str">
        <f t="shared" si="7"/>
        <v>Completed</v>
      </c>
      <c r="S9" s="29" t="s">
        <v>45</v>
      </c>
      <c r="T9" s="29" t="s">
        <v>70</v>
      </c>
    </row>
    <row r="10" spans="1:20">
      <c r="A10" s="29" t="s">
        <v>72</v>
      </c>
      <c r="B10" s="33" t="str">
        <f t="shared" si="0"/>
        <v>08-25</v>
      </c>
      <c r="C10" s="30">
        <v>45872</v>
      </c>
      <c r="D10" s="31" t="str">
        <f t="shared" si="1"/>
        <v>Karachi Main</v>
      </c>
      <c r="E10" s="29" t="s">
        <v>73</v>
      </c>
      <c r="F10" s="29" t="str">
        <f t="shared" si="2"/>
        <v>Karachi</v>
      </c>
      <c r="G10" s="29" t="s">
        <v>74</v>
      </c>
      <c r="H10" s="29" t="str">
        <f t="shared" si="3"/>
        <v>Premium</v>
      </c>
      <c r="I10" s="29" t="s">
        <v>49</v>
      </c>
      <c r="J10" s="29" t="str">
        <f t="shared" si="4"/>
        <v>Savings</v>
      </c>
      <c r="K10" s="29" t="s">
        <v>69</v>
      </c>
      <c r="L10" s="29" t="str">
        <f t="shared" si="5"/>
        <v>Withdrawal</v>
      </c>
      <c r="M10" s="29" t="s">
        <v>60</v>
      </c>
      <c r="N10" s="29" t="str">
        <f t="shared" si="6"/>
        <v>Branch</v>
      </c>
      <c r="O10" s="29" t="s">
        <v>30</v>
      </c>
      <c r="P10" s="32">
        <v>40210.07</v>
      </c>
      <c r="Q10" s="32">
        <v>0</v>
      </c>
      <c r="R10" s="32" t="str">
        <f t="shared" si="7"/>
        <v>Completed</v>
      </c>
      <c r="S10" s="29" t="s">
        <v>45</v>
      </c>
      <c r="T10" s="29" t="s">
        <v>75</v>
      </c>
    </row>
    <row r="11" spans="1:20">
      <c r="A11" s="29" t="s">
        <v>76</v>
      </c>
      <c r="B11" s="33" t="str">
        <f t="shared" si="0"/>
        <v>03-26</v>
      </c>
      <c r="C11" s="30">
        <v>46086</v>
      </c>
      <c r="D11" s="31" t="str">
        <f t="shared" si="1"/>
        <v>Karachi Main</v>
      </c>
      <c r="E11" s="29" t="s">
        <v>73</v>
      </c>
      <c r="F11" s="29" t="str">
        <f t="shared" si="2"/>
        <v>Karachi</v>
      </c>
      <c r="G11" s="29" t="s">
        <v>74</v>
      </c>
      <c r="H11" s="29" t="str">
        <f t="shared" si="3"/>
        <v>Retail</v>
      </c>
      <c r="I11" s="29" t="s">
        <v>77</v>
      </c>
      <c r="J11" s="29" t="str">
        <f t="shared" si="4"/>
        <v>Savings</v>
      </c>
      <c r="K11" s="29" t="s">
        <v>69</v>
      </c>
      <c r="L11" s="29" t="str">
        <f t="shared" si="5"/>
        <v>Bill Payment</v>
      </c>
      <c r="M11" s="29" t="s">
        <v>51</v>
      </c>
      <c r="N11" s="29" t="str">
        <f t="shared" si="6"/>
        <v>Internet Banking</v>
      </c>
      <c r="O11" s="29" t="s">
        <v>78</v>
      </c>
      <c r="P11" s="32">
        <v>17849.52</v>
      </c>
      <c r="Q11" s="32">
        <v>96.07</v>
      </c>
      <c r="R11" s="32" t="str">
        <f t="shared" si="7"/>
        <v>Completed</v>
      </c>
      <c r="S11" s="29" t="s">
        <v>45</v>
      </c>
      <c r="T11" s="29" t="s">
        <v>75</v>
      </c>
    </row>
    <row r="12" spans="1:20">
      <c r="A12" s="29" t="s">
        <v>79</v>
      </c>
      <c r="B12" s="33" t="str">
        <f t="shared" si="0"/>
        <v>03-25</v>
      </c>
      <c r="C12" s="30">
        <v>45736</v>
      </c>
      <c r="D12" s="31" t="str">
        <f t="shared" si="1"/>
        <v>Nawabshah</v>
      </c>
      <c r="E12" s="29" t="s">
        <v>67</v>
      </c>
      <c r="F12" s="29" t="str">
        <f t="shared" si="2"/>
        <v>Shaheed Benazirabad</v>
      </c>
      <c r="G12" s="29" t="s">
        <v>68</v>
      </c>
      <c r="H12" s="29" t="str">
        <f t="shared" si="3"/>
        <v>Premium</v>
      </c>
      <c r="I12" s="29" t="s">
        <v>49</v>
      </c>
      <c r="J12" s="29" t="str">
        <f t="shared" si="4"/>
        <v>Savings</v>
      </c>
      <c r="K12" s="29" t="s">
        <v>69</v>
      </c>
      <c r="L12" s="29" t="str">
        <f t="shared" si="5"/>
        <v>Bill Payment</v>
      </c>
      <c r="M12" s="29" t="s">
        <v>51</v>
      </c>
      <c r="N12" s="29" t="str">
        <f t="shared" si="6"/>
        <v>Atm</v>
      </c>
      <c r="O12" s="29" t="s">
        <v>52</v>
      </c>
      <c r="P12" s="32">
        <v>19526.53</v>
      </c>
      <c r="Q12" s="32">
        <v>38.28</v>
      </c>
      <c r="R12" s="32" t="str">
        <f t="shared" si="7"/>
        <v>Completed</v>
      </c>
      <c r="S12" s="29" t="s">
        <v>45</v>
      </c>
      <c r="T12" s="29" t="s">
        <v>46</v>
      </c>
    </row>
    <row r="13" spans="1:20">
      <c r="A13" s="29" t="s">
        <v>80</v>
      </c>
      <c r="B13" s="33" t="str">
        <f t="shared" si="0"/>
        <v>03-25</v>
      </c>
      <c r="C13" s="30">
        <v>45742</v>
      </c>
      <c r="D13" s="31" t="str">
        <f t="shared" si="1"/>
        <v>Hyderabad</v>
      </c>
      <c r="E13" s="29" t="s">
        <v>63</v>
      </c>
      <c r="F13" s="29" t="str">
        <f t="shared" si="2"/>
        <v>Hyderabad</v>
      </c>
      <c r="G13" s="29" t="s">
        <v>63</v>
      </c>
      <c r="H13" s="29" t="str">
        <f t="shared" si="3"/>
        <v>Premium</v>
      </c>
      <c r="I13" s="29" t="s">
        <v>49</v>
      </c>
      <c r="J13" s="29" t="str">
        <f t="shared" si="4"/>
        <v>Savings</v>
      </c>
      <c r="K13" s="29" t="s">
        <v>69</v>
      </c>
      <c r="L13" s="29" t="str">
        <f t="shared" si="5"/>
        <v>Deposit</v>
      </c>
      <c r="M13" s="29" t="s">
        <v>43</v>
      </c>
      <c r="N13" s="29" t="str">
        <f t="shared" si="6"/>
        <v>Internet Banking</v>
      </c>
      <c r="O13" s="29" t="s">
        <v>78</v>
      </c>
      <c r="P13" s="32">
        <v>110247.27</v>
      </c>
      <c r="Q13" s="32">
        <v>0</v>
      </c>
      <c r="R13" s="32" t="str">
        <f t="shared" si="7"/>
        <v>Completed</v>
      </c>
      <c r="S13" s="29" t="s">
        <v>45</v>
      </c>
      <c r="T13" s="29" t="s">
        <v>53</v>
      </c>
    </row>
    <row r="14" spans="1:20">
      <c r="A14" s="29" t="s">
        <v>81</v>
      </c>
      <c r="B14" s="33" t="str">
        <f t="shared" si="0"/>
        <v>02-26</v>
      </c>
      <c r="C14" s="30">
        <v>46056</v>
      </c>
      <c r="D14" s="31" t="str">
        <f t="shared" si="1"/>
        <v>Larkana</v>
      </c>
      <c r="E14" s="29" t="s">
        <v>48</v>
      </c>
      <c r="F14" s="29" t="str">
        <f t="shared" si="2"/>
        <v>Larkana</v>
      </c>
      <c r="G14" s="29" t="s">
        <v>48</v>
      </c>
      <c r="H14" s="29" t="str">
        <f t="shared" si="3"/>
        <v>Corporate</v>
      </c>
      <c r="I14" s="29" t="s">
        <v>64</v>
      </c>
      <c r="J14" s="29" t="str">
        <f t="shared" si="4"/>
        <v>Savings</v>
      </c>
      <c r="K14" s="29" t="s">
        <v>69</v>
      </c>
      <c r="L14" s="29" t="str">
        <f t="shared" si="5"/>
        <v>Bill Payment</v>
      </c>
      <c r="M14" s="29" t="s">
        <v>51</v>
      </c>
      <c r="N14" s="29" t="str">
        <f t="shared" si="6"/>
        <v>Branch</v>
      </c>
      <c r="O14" s="29" t="s">
        <v>30</v>
      </c>
      <c r="P14" s="32">
        <v>3105.67</v>
      </c>
      <c r="Q14" s="32">
        <v>64.62</v>
      </c>
      <c r="R14" s="32" t="str">
        <f t="shared" si="7"/>
        <v>Completed</v>
      </c>
      <c r="S14" s="29" t="s">
        <v>45</v>
      </c>
      <c r="T14" s="29" t="s">
        <v>57</v>
      </c>
    </row>
    <row r="15" spans="1:20">
      <c r="A15" s="29" t="s">
        <v>82</v>
      </c>
      <c r="B15" s="33" t="str">
        <f t="shared" si="0"/>
        <v>04-25</v>
      </c>
      <c r="C15" s="30">
        <v>45763</v>
      </c>
      <c r="D15" s="31" t="str">
        <f t="shared" si="1"/>
        <v>Karachi Main</v>
      </c>
      <c r="E15" s="29" t="s">
        <v>73</v>
      </c>
      <c r="F15" s="29" t="str">
        <f t="shared" si="2"/>
        <v>Karachi</v>
      </c>
      <c r="G15" s="29" t="s">
        <v>74</v>
      </c>
      <c r="H15" s="29" t="str">
        <f t="shared" si="3"/>
        <v>Premium</v>
      </c>
      <c r="I15" s="29" t="s">
        <v>49</v>
      </c>
      <c r="J15" s="29" t="str">
        <f t="shared" si="4"/>
        <v>Current</v>
      </c>
      <c r="K15" s="29" t="s">
        <v>50</v>
      </c>
      <c r="L15" s="29" t="str">
        <f t="shared" si="5"/>
        <v>Transfer</v>
      </c>
      <c r="M15" s="29" t="s">
        <v>83</v>
      </c>
      <c r="N15" s="29" t="str">
        <f t="shared" si="6"/>
        <v>Mobile App</v>
      </c>
      <c r="O15" s="29" t="s">
        <v>61</v>
      </c>
      <c r="P15" s="32">
        <v>117835.85</v>
      </c>
      <c r="Q15" s="32">
        <v>59.46</v>
      </c>
      <c r="R15" s="32" t="str">
        <f t="shared" si="7"/>
        <v>Pending</v>
      </c>
      <c r="S15" s="29" t="s">
        <v>84</v>
      </c>
      <c r="T15" s="29" t="s">
        <v>46</v>
      </c>
    </row>
    <row r="16" spans="1:20">
      <c r="A16" s="29" t="s">
        <v>85</v>
      </c>
      <c r="B16" s="33" t="str">
        <f t="shared" si="0"/>
        <v>05-25</v>
      </c>
      <c r="C16" s="30">
        <v>45797</v>
      </c>
      <c r="D16" s="31" t="str">
        <f t="shared" si="1"/>
        <v>Hyderabad</v>
      </c>
      <c r="E16" s="29" t="s">
        <v>63</v>
      </c>
      <c r="F16" s="29" t="str">
        <f t="shared" si="2"/>
        <v>Hyderabad</v>
      </c>
      <c r="G16" s="29" t="s">
        <v>63</v>
      </c>
      <c r="H16" s="29" t="str">
        <f t="shared" si="3"/>
        <v>Corporate</v>
      </c>
      <c r="I16" s="29" t="s">
        <v>64</v>
      </c>
      <c r="J16" s="29" t="str">
        <f t="shared" si="4"/>
        <v>Salary</v>
      </c>
      <c r="K16" s="29" t="s">
        <v>56</v>
      </c>
      <c r="L16" s="29" t="str">
        <f t="shared" si="5"/>
        <v>Deposit</v>
      </c>
      <c r="M16" s="29" t="s">
        <v>43</v>
      </c>
      <c r="N16" s="29" t="str">
        <f t="shared" si="6"/>
        <v>Mobile App</v>
      </c>
      <c r="O16" s="29" t="s">
        <v>61</v>
      </c>
      <c r="P16" s="32">
        <v>18368.27</v>
      </c>
      <c r="Q16" s="32">
        <v>0</v>
      </c>
      <c r="R16" s="32" t="str">
        <f t="shared" si="7"/>
        <v>Completed</v>
      </c>
      <c r="S16" s="29" t="s">
        <v>45</v>
      </c>
      <c r="T16" s="29" t="s">
        <v>70</v>
      </c>
    </row>
    <row r="17" spans="1:20">
      <c r="A17" s="29" t="s">
        <v>86</v>
      </c>
      <c r="B17" s="33" t="str">
        <f t="shared" si="0"/>
        <v>06-26</v>
      </c>
      <c r="C17" s="30">
        <v>46187</v>
      </c>
      <c r="D17" s="31" t="str">
        <f t="shared" si="1"/>
        <v>Hyderabad</v>
      </c>
      <c r="E17" s="29" t="s">
        <v>63</v>
      </c>
      <c r="F17" s="29" t="str">
        <f t="shared" si="2"/>
        <v>Hyderabad</v>
      </c>
      <c r="G17" s="29" t="s">
        <v>63</v>
      </c>
      <c r="H17" s="29" t="str">
        <f t="shared" si="3"/>
        <v>Sme</v>
      </c>
      <c r="I17" s="29" t="s">
        <v>55</v>
      </c>
      <c r="J17" s="29" t="str">
        <f t="shared" si="4"/>
        <v>Salary</v>
      </c>
      <c r="K17" s="29" t="s">
        <v>56</v>
      </c>
      <c r="L17" s="29" t="str">
        <f t="shared" si="5"/>
        <v>Bill Payment</v>
      </c>
      <c r="M17" s="29" t="s">
        <v>51</v>
      </c>
      <c r="N17" s="29" t="str">
        <f t="shared" si="6"/>
        <v>Branch</v>
      </c>
      <c r="O17" s="29" t="s">
        <v>30</v>
      </c>
      <c r="P17" s="32">
        <v>9821.1</v>
      </c>
      <c r="Q17" s="32">
        <v>96.16</v>
      </c>
      <c r="R17" s="32" t="str">
        <f t="shared" si="7"/>
        <v>Completed</v>
      </c>
      <c r="S17" s="29" t="s">
        <v>45</v>
      </c>
      <c r="T17" s="29" t="s">
        <v>65</v>
      </c>
    </row>
    <row r="18" spans="1:20">
      <c r="A18" s="29" t="s">
        <v>87</v>
      </c>
      <c r="B18" s="33" t="str">
        <f t="shared" si="0"/>
        <v>05-25</v>
      </c>
      <c r="C18" s="30">
        <v>45795</v>
      </c>
      <c r="D18" s="31" t="str">
        <f t="shared" si="1"/>
        <v>Larkana</v>
      </c>
      <c r="E18" s="29" t="s">
        <v>48</v>
      </c>
      <c r="F18" s="29" t="str">
        <f t="shared" si="2"/>
        <v>Larkana</v>
      </c>
      <c r="G18" s="29" t="s">
        <v>48</v>
      </c>
      <c r="H18" s="29" t="str">
        <f t="shared" si="3"/>
        <v>Sme</v>
      </c>
      <c r="I18" s="29" t="s">
        <v>55</v>
      </c>
      <c r="J18" s="29" t="str">
        <f t="shared" si="4"/>
        <v>Savings</v>
      </c>
      <c r="K18" s="29" t="s">
        <v>69</v>
      </c>
      <c r="L18" s="29" t="str">
        <f t="shared" si="5"/>
        <v>Withdrawal</v>
      </c>
      <c r="M18" s="29" t="s">
        <v>60</v>
      </c>
      <c r="N18" s="29" t="str">
        <f t="shared" si="6"/>
        <v>Internet Banking</v>
      </c>
      <c r="O18" s="29" t="s">
        <v>78</v>
      </c>
      <c r="P18" s="32">
        <v>43074.16</v>
      </c>
      <c r="Q18" s="32">
        <v>0</v>
      </c>
      <c r="R18" s="32" t="str">
        <f t="shared" si="7"/>
        <v>Completed</v>
      </c>
      <c r="S18" s="29" t="s">
        <v>45</v>
      </c>
      <c r="T18" s="29" t="s">
        <v>53</v>
      </c>
    </row>
    <row r="19" spans="1:20">
      <c r="A19" s="29" t="s">
        <v>88</v>
      </c>
      <c r="B19" s="33" t="str">
        <f t="shared" si="0"/>
        <v>09-25</v>
      </c>
      <c r="C19" s="30">
        <v>45919</v>
      </c>
      <c r="D19" s="31" t="str">
        <f t="shared" si="1"/>
        <v>Karachi Main</v>
      </c>
      <c r="E19" s="29" t="s">
        <v>73</v>
      </c>
      <c r="F19" s="29" t="str">
        <f t="shared" si="2"/>
        <v>Karachi</v>
      </c>
      <c r="G19" s="29" t="s">
        <v>74</v>
      </c>
      <c r="H19" s="29" t="str">
        <f t="shared" si="3"/>
        <v>Premium</v>
      </c>
      <c r="I19" s="29" t="s">
        <v>49</v>
      </c>
      <c r="J19" s="29" t="str">
        <f t="shared" si="4"/>
        <v>Current</v>
      </c>
      <c r="K19" s="29" t="s">
        <v>50</v>
      </c>
      <c r="L19" s="29" t="str">
        <f t="shared" si="5"/>
        <v>Deposit</v>
      </c>
      <c r="M19" s="29" t="s">
        <v>43</v>
      </c>
      <c r="N19" s="29" t="str">
        <f t="shared" si="6"/>
        <v>Branch</v>
      </c>
      <c r="O19" s="29" t="s">
        <v>30</v>
      </c>
      <c r="P19" s="32">
        <v>27541.82</v>
      </c>
      <c r="Q19" s="32">
        <v>0</v>
      </c>
      <c r="R19" s="32" t="str">
        <f t="shared" si="7"/>
        <v>Completed</v>
      </c>
      <c r="S19" s="29" t="s">
        <v>45</v>
      </c>
      <c r="T19" s="29" t="s">
        <v>75</v>
      </c>
    </row>
    <row r="20" spans="1:20">
      <c r="A20" s="29" t="s">
        <v>89</v>
      </c>
      <c r="B20" s="33" t="str">
        <f t="shared" si="0"/>
        <v>08-26</v>
      </c>
      <c r="C20" s="30">
        <v>46254</v>
      </c>
      <c r="D20" s="31" t="str">
        <f t="shared" si="1"/>
        <v>Sukher</v>
      </c>
      <c r="E20" s="29" t="s">
        <v>408</v>
      </c>
      <c r="F20" s="29" t="str">
        <f t="shared" si="2"/>
        <v>Sukher</v>
      </c>
      <c r="G20" s="29" t="s">
        <v>408</v>
      </c>
      <c r="H20" s="29" t="str">
        <f t="shared" si="3"/>
        <v>Sme</v>
      </c>
      <c r="I20" s="29" t="s">
        <v>55</v>
      </c>
      <c r="J20" s="29" t="str">
        <f t="shared" si="4"/>
        <v>Salary</v>
      </c>
      <c r="K20" s="29" t="s">
        <v>56</v>
      </c>
      <c r="L20" s="29" t="str">
        <f t="shared" si="5"/>
        <v>Deposit</v>
      </c>
      <c r="M20" s="29" t="s">
        <v>43</v>
      </c>
      <c r="N20" s="29" t="str">
        <f t="shared" si="6"/>
        <v>Mobile App</v>
      </c>
      <c r="O20" s="29" t="s">
        <v>61</v>
      </c>
      <c r="P20" s="32">
        <v>39396.080000000002</v>
      </c>
      <c r="Q20" s="32">
        <v>0</v>
      </c>
      <c r="R20" s="32" t="str">
        <f t="shared" si="7"/>
        <v>Completed</v>
      </c>
      <c r="S20" s="29" t="s">
        <v>45</v>
      </c>
      <c r="T20" s="29" t="s">
        <v>75</v>
      </c>
    </row>
    <row r="21" spans="1:20">
      <c r="A21" s="29" t="s">
        <v>90</v>
      </c>
      <c r="B21" s="33" t="str">
        <f t="shared" si="0"/>
        <v>10-25</v>
      </c>
      <c r="C21" s="30">
        <v>45935</v>
      </c>
      <c r="D21" s="31" t="str">
        <f t="shared" si="1"/>
        <v>Karachi Main</v>
      </c>
      <c r="E21" s="29" t="s">
        <v>73</v>
      </c>
      <c r="F21" s="29" t="str">
        <f t="shared" si="2"/>
        <v>Karachi</v>
      </c>
      <c r="G21" s="29" t="s">
        <v>74</v>
      </c>
      <c r="H21" s="29" t="str">
        <f t="shared" si="3"/>
        <v>Retail</v>
      </c>
      <c r="I21" s="29" t="s">
        <v>77</v>
      </c>
      <c r="J21" s="29" t="str">
        <f t="shared" si="4"/>
        <v>Salary</v>
      </c>
      <c r="K21" s="29" t="s">
        <v>56</v>
      </c>
      <c r="L21" s="29" t="str">
        <f t="shared" si="5"/>
        <v>Transfer</v>
      </c>
      <c r="M21" s="29" t="s">
        <v>83</v>
      </c>
      <c r="N21" s="29" t="str">
        <f t="shared" si="6"/>
        <v>Internet Banking</v>
      </c>
      <c r="O21" s="29" t="s">
        <v>78</v>
      </c>
      <c r="P21" s="32">
        <v>114741.34</v>
      </c>
      <c r="Q21" s="32">
        <v>81.650000000000006</v>
      </c>
      <c r="R21" s="32" t="str">
        <f t="shared" si="7"/>
        <v>Completed</v>
      </c>
      <c r="S21" s="29" t="s">
        <v>45</v>
      </c>
      <c r="T21" s="29" t="s">
        <v>75</v>
      </c>
    </row>
    <row r="22" spans="1:20">
      <c r="A22" s="29" t="s">
        <v>91</v>
      </c>
      <c r="B22" s="33" t="str">
        <f t="shared" si="0"/>
        <v>11-25</v>
      </c>
      <c r="C22" s="30">
        <v>45984</v>
      </c>
      <c r="D22" s="31" t="str">
        <f t="shared" si="1"/>
        <v>Sukher</v>
      </c>
      <c r="E22" s="29" t="s">
        <v>408</v>
      </c>
      <c r="F22" s="29" t="str">
        <f t="shared" si="2"/>
        <v>Sukher</v>
      </c>
      <c r="G22" s="29" t="s">
        <v>408</v>
      </c>
      <c r="H22" s="29" t="str">
        <f t="shared" si="3"/>
        <v>Premium</v>
      </c>
      <c r="I22" s="29" t="s">
        <v>49</v>
      </c>
      <c r="J22" s="29" t="str">
        <f t="shared" si="4"/>
        <v>Current</v>
      </c>
      <c r="K22" s="29" t="s">
        <v>50</v>
      </c>
      <c r="L22" s="29" t="str">
        <f t="shared" si="5"/>
        <v>Deposit</v>
      </c>
      <c r="M22" s="29" t="s">
        <v>43</v>
      </c>
      <c r="N22" s="29" t="str">
        <f t="shared" si="6"/>
        <v>Internet Banking</v>
      </c>
      <c r="O22" s="29" t="s">
        <v>78</v>
      </c>
      <c r="P22" s="32">
        <v>69775.89</v>
      </c>
      <c r="Q22" s="32">
        <v>0</v>
      </c>
      <c r="R22" s="32" t="str">
        <f t="shared" si="7"/>
        <v>Completed</v>
      </c>
      <c r="S22" s="29" t="s">
        <v>45</v>
      </c>
      <c r="T22" s="29" t="s">
        <v>46</v>
      </c>
    </row>
    <row r="23" spans="1:20">
      <c r="A23" s="29" t="s">
        <v>92</v>
      </c>
      <c r="B23" s="33" t="str">
        <f t="shared" si="0"/>
        <v>06-26</v>
      </c>
      <c r="C23" s="30">
        <v>46178</v>
      </c>
      <c r="D23" s="31" t="str">
        <f t="shared" si="1"/>
        <v>Nawabshah</v>
      </c>
      <c r="E23" s="29" t="s">
        <v>67</v>
      </c>
      <c r="F23" s="29" t="str">
        <f t="shared" si="2"/>
        <v>Shaheed Benazirabad</v>
      </c>
      <c r="G23" s="29" t="s">
        <v>68</v>
      </c>
      <c r="H23" s="29" t="str">
        <f t="shared" si="3"/>
        <v>Premium</v>
      </c>
      <c r="I23" s="29" t="s">
        <v>49</v>
      </c>
      <c r="J23" s="29" t="str">
        <f t="shared" si="4"/>
        <v>Current</v>
      </c>
      <c r="K23" s="29" t="s">
        <v>50</v>
      </c>
      <c r="L23" s="29" t="str">
        <f t="shared" si="5"/>
        <v>Bill Payment</v>
      </c>
      <c r="M23" s="29" t="s">
        <v>51</v>
      </c>
      <c r="N23" s="29" t="str">
        <f t="shared" si="6"/>
        <v>Atm</v>
      </c>
      <c r="O23" s="29" t="s">
        <v>52</v>
      </c>
      <c r="P23" s="32">
        <v>14782.21</v>
      </c>
      <c r="Q23" s="32">
        <v>60.03</v>
      </c>
      <c r="R23" s="32" t="str">
        <f t="shared" si="7"/>
        <v>Completed</v>
      </c>
      <c r="S23" s="29" t="s">
        <v>45</v>
      </c>
      <c r="T23" s="29" t="s">
        <v>53</v>
      </c>
    </row>
    <row r="24" spans="1:20">
      <c r="A24" s="29" t="s">
        <v>93</v>
      </c>
      <c r="B24" s="33" t="str">
        <f t="shared" si="0"/>
        <v>06-25</v>
      </c>
      <c r="C24" s="30">
        <v>45826</v>
      </c>
      <c r="D24" s="31" t="str">
        <f t="shared" si="1"/>
        <v>Karachi Main</v>
      </c>
      <c r="E24" s="29" t="s">
        <v>73</v>
      </c>
      <c r="F24" s="29" t="str">
        <f t="shared" si="2"/>
        <v>Karachi</v>
      </c>
      <c r="G24" s="29" t="s">
        <v>74</v>
      </c>
      <c r="H24" s="29" t="str">
        <f t="shared" si="3"/>
        <v>Corporate</v>
      </c>
      <c r="I24" s="29" t="s">
        <v>64</v>
      </c>
      <c r="J24" s="29" t="str">
        <f t="shared" si="4"/>
        <v>Current</v>
      </c>
      <c r="K24" s="29" t="s">
        <v>50</v>
      </c>
      <c r="L24" s="29" t="str">
        <f t="shared" si="5"/>
        <v>Withdrawal</v>
      </c>
      <c r="M24" s="29" t="s">
        <v>60</v>
      </c>
      <c r="N24" s="29" t="str">
        <f t="shared" si="6"/>
        <v>Mobile App</v>
      </c>
      <c r="O24" s="29" t="s">
        <v>61</v>
      </c>
      <c r="P24" s="32">
        <v>48273.63</v>
      </c>
      <c r="Q24" s="32">
        <v>0</v>
      </c>
      <c r="R24" s="32" t="str">
        <f t="shared" si="7"/>
        <v>Completed</v>
      </c>
      <c r="S24" s="29" t="s">
        <v>45</v>
      </c>
      <c r="T24" s="29" t="s">
        <v>75</v>
      </c>
    </row>
    <row r="25" spans="1:20">
      <c r="A25" s="29" t="s">
        <v>94</v>
      </c>
      <c r="B25" s="33" t="str">
        <f t="shared" si="0"/>
        <v>10-25</v>
      </c>
      <c r="C25" s="30">
        <v>45940</v>
      </c>
      <c r="D25" s="31" t="str">
        <f t="shared" si="1"/>
        <v>Hyderabad</v>
      </c>
      <c r="E25" s="29" t="s">
        <v>63</v>
      </c>
      <c r="F25" s="29" t="str">
        <f t="shared" si="2"/>
        <v>Hyderabad</v>
      </c>
      <c r="G25" s="29" t="s">
        <v>63</v>
      </c>
      <c r="H25" s="29" t="str">
        <f t="shared" si="3"/>
        <v>Sme</v>
      </c>
      <c r="I25" s="29" t="s">
        <v>55</v>
      </c>
      <c r="J25" s="29" t="str">
        <f t="shared" si="4"/>
        <v>Savings</v>
      </c>
      <c r="K25" s="29" t="s">
        <v>69</v>
      </c>
      <c r="L25" s="29" t="str">
        <f t="shared" si="5"/>
        <v>Withdrawal</v>
      </c>
      <c r="M25" s="29" t="s">
        <v>60</v>
      </c>
      <c r="N25" s="29" t="str">
        <f t="shared" si="6"/>
        <v>Atm</v>
      </c>
      <c r="O25" s="29" t="s">
        <v>52</v>
      </c>
      <c r="P25" s="32">
        <v>27726.67</v>
      </c>
      <c r="Q25" s="32">
        <v>0</v>
      </c>
      <c r="R25" s="32" t="str">
        <f t="shared" si="7"/>
        <v>Completed</v>
      </c>
      <c r="S25" s="29" t="s">
        <v>45</v>
      </c>
      <c r="T25" s="29" t="s">
        <v>57</v>
      </c>
    </row>
    <row r="26" spans="1:20">
      <c r="A26" s="29" t="s">
        <v>95</v>
      </c>
      <c r="B26" s="33" t="str">
        <f t="shared" si="0"/>
        <v>02-26</v>
      </c>
      <c r="C26" s="30">
        <v>46061</v>
      </c>
      <c r="D26" s="31" t="str">
        <f t="shared" si="1"/>
        <v>Larkana</v>
      </c>
      <c r="E26" s="29" t="s">
        <v>48</v>
      </c>
      <c r="F26" s="29" t="str">
        <f t="shared" si="2"/>
        <v>Larkana</v>
      </c>
      <c r="G26" s="29" t="s">
        <v>48</v>
      </c>
      <c r="H26" s="29" t="str">
        <f t="shared" si="3"/>
        <v>Retail</v>
      </c>
      <c r="I26" s="29" t="s">
        <v>77</v>
      </c>
      <c r="J26" s="29" t="str">
        <f t="shared" si="4"/>
        <v>Savings</v>
      </c>
      <c r="K26" s="29" t="s">
        <v>69</v>
      </c>
      <c r="L26" s="29" t="str">
        <f t="shared" si="5"/>
        <v>Withdrawal</v>
      </c>
      <c r="M26" s="29" t="s">
        <v>60</v>
      </c>
      <c r="N26" s="29" t="str">
        <f t="shared" si="6"/>
        <v>Branch</v>
      </c>
      <c r="O26" s="29" t="s">
        <v>30</v>
      </c>
      <c r="P26" s="32">
        <v>49817.01</v>
      </c>
      <c r="Q26" s="32">
        <v>0</v>
      </c>
      <c r="R26" s="32" t="str">
        <f t="shared" si="7"/>
        <v>Completed</v>
      </c>
      <c r="S26" s="29" t="s">
        <v>45</v>
      </c>
      <c r="T26" s="29" t="s">
        <v>70</v>
      </c>
    </row>
    <row r="27" spans="1:20">
      <c r="A27" s="29" t="s">
        <v>96</v>
      </c>
      <c r="B27" s="33" t="str">
        <f t="shared" si="0"/>
        <v>10-25</v>
      </c>
      <c r="C27" s="30">
        <v>45934</v>
      </c>
      <c r="D27" s="31" t="str">
        <f t="shared" si="1"/>
        <v>Karachi Main</v>
      </c>
      <c r="E27" s="29" t="s">
        <v>73</v>
      </c>
      <c r="F27" s="29" t="str">
        <f t="shared" si="2"/>
        <v>Karachi</v>
      </c>
      <c r="G27" s="29" t="s">
        <v>74</v>
      </c>
      <c r="H27" s="29" t="str">
        <f t="shared" si="3"/>
        <v>Sme</v>
      </c>
      <c r="I27" s="29" t="s">
        <v>55</v>
      </c>
      <c r="J27" s="29" t="str">
        <f t="shared" si="4"/>
        <v>Savings</v>
      </c>
      <c r="K27" s="29" t="s">
        <v>69</v>
      </c>
      <c r="L27" s="29" t="str">
        <f t="shared" si="5"/>
        <v>Deposit</v>
      </c>
      <c r="M27" s="29" t="s">
        <v>43</v>
      </c>
      <c r="N27" s="29" t="str">
        <f t="shared" si="6"/>
        <v>Mobile App</v>
      </c>
      <c r="O27" s="29" t="s">
        <v>61</v>
      </c>
      <c r="P27" s="32">
        <v>30118.76</v>
      </c>
      <c r="Q27" s="32">
        <v>0</v>
      </c>
      <c r="R27" s="32" t="str">
        <f t="shared" si="7"/>
        <v>Completed</v>
      </c>
      <c r="S27" s="29" t="s">
        <v>45</v>
      </c>
      <c r="T27" s="29" t="s">
        <v>75</v>
      </c>
    </row>
    <row r="28" spans="1:20">
      <c r="A28" s="29" t="s">
        <v>97</v>
      </c>
      <c r="B28" s="33" t="str">
        <f t="shared" si="0"/>
        <v>02-25</v>
      </c>
      <c r="C28" s="30">
        <v>45694</v>
      </c>
      <c r="D28" s="31" t="str">
        <f t="shared" si="1"/>
        <v>Nawabshah</v>
      </c>
      <c r="E28" s="29" t="s">
        <v>67</v>
      </c>
      <c r="F28" s="29" t="str">
        <f t="shared" si="2"/>
        <v>Shaheed Benazirabad</v>
      </c>
      <c r="G28" s="29" t="s">
        <v>68</v>
      </c>
      <c r="H28" s="29" t="str">
        <f t="shared" si="3"/>
        <v>Corporate</v>
      </c>
      <c r="I28" s="29" t="s">
        <v>64</v>
      </c>
      <c r="J28" s="29" t="str">
        <f t="shared" si="4"/>
        <v>Salary</v>
      </c>
      <c r="K28" s="29" t="s">
        <v>56</v>
      </c>
      <c r="L28" s="29" t="str">
        <f t="shared" si="5"/>
        <v>Withdrawal</v>
      </c>
      <c r="M28" s="29" t="s">
        <v>60</v>
      </c>
      <c r="N28" s="29" t="str">
        <f t="shared" si="6"/>
        <v>Branch</v>
      </c>
      <c r="O28" s="29" t="s">
        <v>30</v>
      </c>
      <c r="P28" s="32">
        <v>39331.800000000003</v>
      </c>
      <c r="Q28" s="32">
        <v>0</v>
      </c>
      <c r="R28" s="32" t="str">
        <f t="shared" si="7"/>
        <v>Completed</v>
      </c>
      <c r="S28" s="29" t="s">
        <v>45</v>
      </c>
      <c r="T28" s="29" t="s">
        <v>46</v>
      </c>
    </row>
    <row r="29" spans="1:20">
      <c r="A29" s="29" t="s">
        <v>98</v>
      </c>
      <c r="B29" s="33" t="str">
        <f t="shared" si="0"/>
        <v>06-26</v>
      </c>
      <c r="C29" s="30">
        <v>46194</v>
      </c>
      <c r="D29" s="31" t="str">
        <f t="shared" si="1"/>
        <v>Sukher</v>
      </c>
      <c r="E29" s="29" t="s">
        <v>408</v>
      </c>
      <c r="F29" s="29" t="str">
        <f t="shared" si="2"/>
        <v>Sukher</v>
      </c>
      <c r="G29" s="29" t="s">
        <v>408</v>
      </c>
      <c r="H29" s="29" t="str">
        <f t="shared" si="3"/>
        <v>Retail</v>
      </c>
      <c r="I29" s="29" t="s">
        <v>77</v>
      </c>
      <c r="J29" s="29" t="str">
        <f t="shared" si="4"/>
        <v>Current</v>
      </c>
      <c r="K29" s="29" t="s">
        <v>50</v>
      </c>
      <c r="L29" s="29" t="str">
        <f t="shared" si="5"/>
        <v>Withdrawal</v>
      </c>
      <c r="M29" s="29" t="s">
        <v>60</v>
      </c>
      <c r="N29" s="29" t="str">
        <f t="shared" si="6"/>
        <v>Atm</v>
      </c>
      <c r="O29" s="29" t="s">
        <v>52</v>
      </c>
      <c r="P29" s="32">
        <v>10600.81</v>
      </c>
      <c r="Q29" s="32">
        <v>0</v>
      </c>
      <c r="R29" s="32" t="str">
        <f t="shared" si="7"/>
        <v>Completed</v>
      </c>
      <c r="S29" s="29" t="s">
        <v>45</v>
      </c>
      <c r="T29" s="29" t="s">
        <v>46</v>
      </c>
    </row>
    <row r="30" spans="1:20">
      <c r="A30" s="29" t="s">
        <v>99</v>
      </c>
      <c r="B30" s="33" t="str">
        <f t="shared" si="0"/>
        <v>04-25</v>
      </c>
      <c r="C30" s="30">
        <v>45759</v>
      </c>
      <c r="D30" s="31" t="str">
        <f t="shared" si="1"/>
        <v>Hyderabad</v>
      </c>
      <c r="E30" s="29" t="s">
        <v>63</v>
      </c>
      <c r="F30" s="29" t="str">
        <f t="shared" si="2"/>
        <v>Hyderabad</v>
      </c>
      <c r="G30" s="29" t="s">
        <v>63</v>
      </c>
      <c r="H30" s="29" t="str">
        <f t="shared" si="3"/>
        <v>Sme</v>
      </c>
      <c r="I30" s="29" t="s">
        <v>55</v>
      </c>
      <c r="J30" s="29" t="str">
        <f t="shared" si="4"/>
        <v>Savings</v>
      </c>
      <c r="K30" s="29" t="s">
        <v>69</v>
      </c>
      <c r="L30" s="29" t="str">
        <f t="shared" si="5"/>
        <v>Bill Payment</v>
      </c>
      <c r="M30" s="29" t="s">
        <v>51</v>
      </c>
      <c r="N30" s="29" t="str">
        <f t="shared" si="6"/>
        <v>Mobile App</v>
      </c>
      <c r="O30" s="29" t="s">
        <v>61</v>
      </c>
      <c r="P30" s="32">
        <v>29032.58</v>
      </c>
      <c r="Q30" s="32">
        <v>87.94</v>
      </c>
      <c r="R30" s="32" t="str">
        <f t="shared" si="7"/>
        <v>Completed</v>
      </c>
      <c r="S30" s="29" t="s">
        <v>45</v>
      </c>
      <c r="T30" s="29" t="s">
        <v>53</v>
      </c>
    </row>
    <row r="31" spans="1:20">
      <c r="A31" s="29" t="s">
        <v>100</v>
      </c>
      <c r="B31" s="33" t="str">
        <f t="shared" si="0"/>
        <v>01-25</v>
      </c>
      <c r="C31" s="30">
        <v>45678</v>
      </c>
      <c r="D31" s="31" t="str">
        <f t="shared" si="1"/>
        <v>Karachi Main</v>
      </c>
      <c r="E31" s="29" t="s">
        <v>73</v>
      </c>
      <c r="F31" s="29" t="str">
        <f t="shared" si="2"/>
        <v>Karachi</v>
      </c>
      <c r="G31" s="29" t="s">
        <v>74</v>
      </c>
      <c r="H31" s="29" t="str">
        <f t="shared" si="3"/>
        <v>Corporate</v>
      </c>
      <c r="I31" s="29" t="s">
        <v>64</v>
      </c>
      <c r="J31" s="29" t="str">
        <f t="shared" si="4"/>
        <v>Salary</v>
      </c>
      <c r="K31" s="29" t="s">
        <v>56</v>
      </c>
      <c r="L31" s="29" t="str">
        <f t="shared" si="5"/>
        <v>Transfer</v>
      </c>
      <c r="M31" s="29" t="s">
        <v>83</v>
      </c>
      <c r="N31" s="29" t="str">
        <f t="shared" si="6"/>
        <v>Atm</v>
      </c>
      <c r="O31" s="29" t="s">
        <v>52</v>
      </c>
      <c r="P31" s="32">
        <v>137538.19</v>
      </c>
      <c r="Q31" s="32">
        <v>158.58000000000001</v>
      </c>
      <c r="R31" s="32" t="str">
        <f t="shared" si="7"/>
        <v>Completed</v>
      </c>
      <c r="S31" s="29" t="s">
        <v>45</v>
      </c>
      <c r="T31" s="29" t="s">
        <v>75</v>
      </c>
    </row>
    <row r="32" spans="1:20">
      <c r="A32" s="29" t="s">
        <v>101</v>
      </c>
      <c r="B32" s="33" t="str">
        <f t="shared" si="0"/>
        <v>01-26</v>
      </c>
      <c r="C32" s="30">
        <v>46038</v>
      </c>
      <c r="D32" s="31" t="str">
        <f t="shared" si="1"/>
        <v>Karachi Main</v>
      </c>
      <c r="E32" s="29" t="s">
        <v>73</v>
      </c>
      <c r="F32" s="29" t="str">
        <f t="shared" si="2"/>
        <v>Karachi</v>
      </c>
      <c r="G32" s="29" t="s">
        <v>74</v>
      </c>
      <c r="H32" s="29" t="str">
        <f t="shared" si="3"/>
        <v>Sme</v>
      </c>
      <c r="I32" s="29" t="s">
        <v>55</v>
      </c>
      <c r="J32" s="29" t="str">
        <f t="shared" si="4"/>
        <v>Savings</v>
      </c>
      <c r="K32" s="29" t="s">
        <v>69</v>
      </c>
      <c r="L32" s="29" t="str">
        <f t="shared" si="5"/>
        <v>Withdrawal</v>
      </c>
      <c r="M32" s="29" t="s">
        <v>60</v>
      </c>
      <c r="N32" s="29" t="str">
        <f t="shared" si="6"/>
        <v>Internet Banking</v>
      </c>
      <c r="O32" s="29" t="s">
        <v>78</v>
      </c>
      <c r="P32" s="32">
        <v>21895.279999999999</v>
      </c>
      <c r="Q32" s="32">
        <v>0</v>
      </c>
      <c r="R32" s="32" t="str">
        <f t="shared" si="7"/>
        <v>Completed</v>
      </c>
      <c r="S32" s="29" t="s">
        <v>45</v>
      </c>
      <c r="T32" s="29" t="s">
        <v>70</v>
      </c>
    </row>
    <row r="33" spans="1:20">
      <c r="A33" s="29" t="s">
        <v>102</v>
      </c>
      <c r="B33" s="33" t="str">
        <f t="shared" si="0"/>
        <v>07-25</v>
      </c>
      <c r="C33" s="30">
        <v>45865</v>
      </c>
      <c r="D33" s="31" t="str">
        <f t="shared" si="1"/>
        <v>Sukher</v>
      </c>
      <c r="E33" s="29" t="s">
        <v>408</v>
      </c>
      <c r="F33" s="29" t="str">
        <f t="shared" si="2"/>
        <v>Sukher</v>
      </c>
      <c r="G33" s="29" t="s">
        <v>408</v>
      </c>
      <c r="H33" s="29" t="str">
        <f t="shared" si="3"/>
        <v>Corporate</v>
      </c>
      <c r="I33" s="29" t="s">
        <v>64</v>
      </c>
      <c r="J33" s="29" t="str">
        <f t="shared" si="4"/>
        <v>Salary</v>
      </c>
      <c r="K33" s="29" t="s">
        <v>56</v>
      </c>
      <c r="L33" s="29" t="str">
        <f t="shared" si="5"/>
        <v>Bill Payment</v>
      </c>
      <c r="M33" s="29" t="s">
        <v>51</v>
      </c>
      <c r="N33" s="29" t="str">
        <f t="shared" si="6"/>
        <v>Mobile App</v>
      </c>
      <c r="O33" s="29" t="s">
        <v>61</v>
      </c>
      <c r="P33" s="32">
        <v>25932.04</v>
      </c>
      <c r="Q33" s="32">
        <v>10.050000000000001</v>
      </c>
      <c r="R33" s="32" t="str">
        <f t="shared" si="7"/>
        <v>Completed</v>
      </c>
      <c r="S33" s="29" t="s">
        <v>45</v>
      </c>
      <c r="T33" s="29" t="s">
        <v>65</v>
      </c>
    </row>
    <row r="34" spans="1:20">
      <c r="A34" s="29" t="s">
        <v>103</v>
      </c>
      <c r="B34" s="33" t="str">
        <f t="shared" si="0"/>
        <v>05-25</v>
      </c>
      <c r="C34" s="30">
        <v>45789</v>
      </c>
      <c r="D34" s="31" t="str">
        <f t="shared" si="1"/>
        <v>Nawabshah</v>
      </c>
      <c r="E34" s="29" t="s">
        <v>67</v>
      </c>
      <c r="F34" s="29" t="str">
        <f t="shared" si="2"/>
        <v>Shaheed Benazirabad</v>
      </c>
      <c r="G34" s="29" t="s">
        <v>68</v>
      </c>
      <c r="H34" s="29" t="str">
        <f t="shared" si="3"/>
        <v>Premium</v>
      </c>
      <c r="I34" s="29" t="s">
        <v>49</v>
      </c>
      <c r="J34" s="29" t="str">
        <f t="shared" si="4"/>
        <v>Salary</v>
      </c>
      <c r="K34" s="29" t="s">
        <v>56</v>
      </c>
      <c r="L34" s="29" t="str">
        <f t="shared" si="5"/>
        <v>Bill Payment</v>
      </c>
      <c r="M34" s="29" t="s">
        <v>51</v>
      </c>
      <c r="N34" s="29" t="str">
        <f t="shared" si="6"/>
        <v>Branch</v>
      </c>
      <c r="O34" s="29" t="s">
        <v>30</v>
      </c>
      <c r="P34" s="32">
        <v>3817.99</v>
      </c>
      <c r="Q34" s="32">
        <v>77.989999999999995</v>
      </c>
      <c r="R34" s="32" t="str">
        <f t="shared" si="7"/>
        <v>Pending</v>
      </c>
      <c r="S34" s="29" t="s">
        <v>84</v>
      </c>
      <c r="T34" s="29" t="s">
        <v>75</v>
      </c>
    </row>
    <row r="35" spans="1:20">
      <c r="A35" s="29" t="s">
        <v>104</v>
      </c>
      <c r="B35" s="33" t="str">
        <f t="shared" si="0"/>
        <v>01-26</v>
      </c>
      <c r="C35" s="30">
        <v>46039</v>
      </c>
      <c r="D35" s="31" t="str">
        <f t="shared" si="1"/>
        <v>Sukher</v>
      </c>
      <c r="E35" s="29" t="s">
        <v>408</v>
      </c>
      <c r="F35" s="29" t="str">
        <f t="shared" si="2"/>
        <v>Sukher</v>
      </c>
      <c r="G35" s="29" t="s">
        <v>408</v>
      </c>
      <c r="H35" s="29" t="str">
        <f t="shared" si="3"/>
        <v>Sme</v>
      </c>
      <c r="I35" s="29" t="s">
        <v>55</v>
      </c>
      <c r="J35" s="29" t="str">
        <f t="shared" si="4"/>
        <v>Current</v>
      </c>
      <c r="K35" s="29" t="s">
        <v>50</v>
      </c>
      <c r="L35" s="29" t="str">
        <f t="shared" si="5"/>
        <v>Withdrawal</v>
      </c>
      <c r="M35" s="29" t="s">
        <v>60</v>
      </c>
      <c r="N35" s="29" t="str">
        <f t="shared" si="6"/>
        <v>Branch</v>
      </c>
      <c r="O35" s="29" t="s">
        <v>30</v>
      </c>
      <c r="P35" s="32">
        <v>59452.1</v>
      </c>
      <c r="Q35" s="32">
        <v>0</v>
      </c>
      <c r="R35" s="32" t="str">
        <f t="shared" si="7"/>
        <v>Completed</v>
      </c>
      <c r="S35" s="29" t="s">
        <v>45</v>
      </c>
      <c r="T35" s="29" t="s">
        <v>53</v>
      </c>
    </row>
    <row r="36" spans="1:20">
      <c r="A36" s="29" t="s">
        <v>105</v>
      </c>
      <c r="B36" s="33" t="str">
        <f t="shared" si="0"/>
        <v>02-25</v>
      </c>
      <c r="C36" s="30">
        <v>45713</v>
      </c>
      <c r="D36" s="31" t="str">
        <f t="shared" si="1"/>
        <v>Larkana</v>
      </c>
      <c r="E36" s="29" t="s">
        <v>48</v>
      </c>
      <c r="F36" s="29" t="str">
        <f t="shared" si="2"/>
        <v>Larkana</v>
      </c>
      <c r="G36" s="29" t="s">
        <v>48</v>
      </c>
      <c r="H36" s="29" t="str">
        <f t="shared" si="3"/>
        <v>Retail</v>
      </c>
      <c r="I36" s="29" t="s">
        <v>77</v>
      </c>
      <c r="J36" s="29" t="str">
        <f t="shared" si="4"/>
        <v>Salary</v>
      </c>
      <c r="K36" s="29" t="s">
        <v>56</v>
      </c>
      <c r="L36" s="29" t="str">
        <f t="shared" si="5"/>
        <v>Transfer</v>
      </c>
      <c r="M36" s="29" t="s">
        <v>83</v>
      </c>
      <c r="N36" s="29" t="str">
        <f t="shared" si="6"/>
        <v>Atm</v>
      </c>
      <c r="O36" s="29" t="s">
        <v>52</v>
      </c>
      <c r="P36" s="32">
        <v>45609.09</v>
      </c>
      <c r="Q36" s="32">
        <v>25.89</v>
      </c>
      <c r="R36" s="32" t="str">
        <f t="shared" si="7"/>
        <v>Completed</v>
      </c>
      <c r="S36" s="29" t="s">
        <v>45</v>
      </c>
      <c r="T36" s="29" t="s">
        <v>75</v>
      </c>
    </row>
    <row r="37" spans="1:20">
      <c r="A37" s="29" t="s">
        <v>106</v>
      </c>
      <c r="B37" s="33" t="str">
        <f t="shared" si="0"/>
        <v>03-25</v>
      </c>
      <c r="C37" s="30">
        <v>45730</v>
      </c>
      <c r="D37" s="31" t="str">
        <f t="shared" si="1"/>
        <v>Hyderabad</v>
      </c>
      <c r="E37" s="29" t="s">
        <v>63</v>
      </c>
      <c r="F37" s="29" t="str">
        <f t="shared" si="2"/>
        <v>Hyderabad</v>
      </c>
      <c r="G37" s="29" t="s">
        <v>63</v>
      </c>
      <c r="H37" s="29" t="str">
        <f t="shared" si="3"/>
        <v>Sme</v>
      </c>
      <c r="I37" s="29" t="s">
        <v>55</v>
      </c>
      <c r="J37" s="29" t="str">
        <f t="shared" si="4"/>
        <v>Savings</v>
      </c>
      <c r="K37" s="29" t="s">
        <v>69</v>
      </c>
      <c r="L37" s="29" t="str">
        <f t="shared" si="5"/>
        <v>Withdrawal</v>
      </c>
      <c r="M37" s="29" t="s">
        <v>60</v>
      </c>
      <c r="N37" s="29" t="str">
        <f t="shared" si="6"/>
        <v>Atm</v>
      </c>
      <c r="O37" s="29" t="s">
        <v>52</v>
      </c>
      <c r="P37" s="32">
        <v>19566.22</v>
      </c>
      <c r="Q37" s="32">
        <v>0</v>
      </c>
      <c r="R37" s="32" t="str">
        <f t="shared" si="7"/>
        <v>Completed</v>
      </c>
      <c r="S37" s="29" t="s">
        <v>45</v>
      </c>
      <c r="T37" s="29" t="s">
        <v>417</v>
      </c>
    </row>
    <row r="38" spans="1:20">
      <c r="A38" s="29" t="s">
        <v>107</v>
      </c>
      <c r="B38" s="33" t="str">
        <f t="shared" si="0"/>
        <v>03-26</v>
      </c>
      <c r="C38" s="30">
        <v>46107</v>
      </c>
      <c r="D38" s="31" t="str">
        <f t="shared" si="1"/>
        <v>Sukher</v>
      </c>
      <c r="E38" s="29" t="s">
        <v>408</v>
      </c>
      <c r="F38" s="29" t="str">
        <f t="shared" si="2"/>
        <v>Sukher</v>
      </c>
      <c r="G38" s="29" t="s">
        <v>408</v>
      </c>
      <c r="H38" s="29" t="str">
        <f t="shared" si="3"/>
        <v>Retail</v>
      </c>
      <c r="I38" s="29" t="s">
        <v>77</v>
      </c>
      <c r="J38" s="29" t="str">
        <f t="shared" si="4"/>
        <v>Salary</v>
      </c>
      <c r="K38" s="29" t="s">
        <v>56</v>
      </c>
      <c r="L38" s="29" t="str">
        <f t="shared" si="5"/>
        <v>Transfer</v>
      </c>
      <c r="M38" s="29" t="s">
        <v>83</v>
      </c>
      <c r="N38" s="29" t="str">
        <f t="shared" si="6"/>
        <v>Branch</v>
      </c>
      <c r="O38" s="29" t="s">
        <v>30</v>
      </c>
      <c r="P38" s="32">
        <v>104195.71</v>
      </c>
      <c r="Q38" s="32">
        <v>74.239999999999995</v>
      </c>
      <c r="R38" s="32" t="str">
        <f t="shared" si="7"/>
        <v>Completed</v>
      </c>
      <c r="S38" s="29" t="s">
        <v>45</v>
      </c>
      <c r="T38" s="29" t="s">
        <v>57</v>
      </c>
    </row>
    <row r="39" spans="1:20">
      <c r="A39" s="29" t="s">
        <v>108</v>
      </c>
      <c r="B39" s="33" t="str">
        <f t="shared" si="0"/>
        <v>08-25</v>
      </c>
      <c r="C39" s="30">
        <v>45871</v>
      </c>
      <c r="D39" s="31" t="str">
        <f t="shared" si="1"/>
        <v>Hyderabad</v>
      </c>
      <c r="E39" s="29" t="s">
        <v>109</v>
      </c>
      <c r="F39" s="29" t="str">
        <f t="shared" si="2"/>
        <v>Hyderabad</v>
      </c>
      <c r="G39" s="29" t="s">
        <v>63</v>
      </c>
      <c r="H39" s="29" t="str">
        <f t="shared" si="3"/>
        <v>Sme</v>
      </c>
      <c r="I39" s="29" t="s">
        <v>55</v>
      </c>
      <c r="J39" s="29" t="str">
        <f t="shared" si="4"/>
        <v>Current</v>
      </c>
      <c r="K39" s="29" t="s">
        <v>50</v>
      </c>
      <c r="L39" s="29" t="str">
        <f t="shared" si="5"/>
        <v>Withdrawal</v>
      </c>
      <c r="M39" s="29" t="s">
        <v>60</v>
      </c>
      <c r="N39" s="29" t="str">
        <f t="shared" si="6"/>
        <v>Branch</v>
      </c>
      <c r="O39" s="29" t="s">
        <v>30</v>
      </c>
      <c r="P39" s="32">
        <v>42471.41</v>
      </c>
      <c r="Q39" s="32">
        <v>0</v>
      </c>
      <c r="R39" s="32" t="str">
        <f t="shared" si="7"/>
        <v>Completed</v>
      </c>
      <c r="S39" s="29" t="s">
        <v>45</v>
      </c>
      <c r="T39" s="29" t="s">
        <v>57</v>
      </c>
    </row>
    <row r="40" spans="1:20">
      <c r="A40" s="29" t="s">
        <v>110</v>
      </c>
      <c r="B40" s="33" t="str">
        <f t="shared" si="0"/>
        <v>10-25</v>
      </c>
      <c r="C40" s="30">
        <v>45956</v>
      </c>
      <c r="D40" s="31" t="str">
        <f t="shared" si="1"/>
        <v>Sukher</v>
      </c>
      <c r="E40" s="29" t="s">
        <v>408</v>
      </c>
      <c r="F40" s="29" t="str">
        <f t="shared" si="2"/>
        <v>Sukher</v>
      </c>
      <c r="G40" s="29" t="s">
        <v>408</v>
      </c>
      <c r="H40" s="29" t="str">
        <f t="shared" si="3"/>
        <v>Premium</v>
      </c>
      <c r="I40" s="29" t="s">
        <v>49</v>
      </c>
      <c r="J40" s="29" t="str">
        <f t="shared" si="4"/>
        <v>Current</v>
      </c>
      <c r="K40" s="29" t="s">
        <v>50</v>
      </c>
      <c r="L40" s="29" t="str">
        <f t="shared" si="5"/>
        <v>Bill Payment</v>
      </c>
      <c r="M40" s="29" t="s">
        <v>51</v>
      </c>
      <c r="N40" s="29" t="str">
        <f t="shared" si="6"/>
        <v>Mobile App</v>
      </c>
      <c r="O40" s="29" t="s">
        <v>61</v>
      </c>
      <c r="P40" s="32">
        <v>10169.24</v>
      </c>
      <c r="Q40" s="32">
        <v>20.93</v>
      </c>
      <c r="R40" s="32" t="str">
        <f t="shared" si="7"/>
        <v>Completed</v>
      </c>
      <c r="S40" s="29" t="s">
        <v>45</v>
      </c>
      <c r="T40" s="29" t="s">
        <v>70</v>
      </c>
    </row>
    <row r="41" spans="1:20">
      <c r="A41" s="29" t="s">
        <v>111</v>
      </c>
      <c r="B41" s="33" t="str">
        <f t="shared" si="0"/>
        <v>07-26</v>
      </c>
      <c r="C41" s="30">
        <v>46214</v>
      </c>
      <c r="D41" s="31" t="str">
        <f t="shared" si="1"/>
        <v>Nawabshah</v>
      </c>
      <c r="E41" s="29" t="s">
        <v>67</v>
      </c>
      <c r="F41" s="29" t="str">
        <f t="shared" si="2"/>
        <v>Shaheed Benazirabad</v>
      </c>
      <c r="G41" s="29" t="s">
        <v>68</v>
      </c>
      <c r="H41" s="29" t="str">
        <f t="shared" si="3"/>
        <v>Premium</v>
      </c>
      <c r="I41" s="29" t="s">
        <v>49</v>
      </c>
      <c r="J41" s="29" t="str">
        <f t="shared" si="4"/>
        <v>Current</v>
      </c>
      <c r="K41" s="29" t="s">
        <v>50</v>
      </c>
      <c r="L41" s="29" t="str">
        <f t="shared" si="5"/>
        <v>Deposit</v>
      </c>
      <c r="M41" s="29" t="s">
        <v>43</v>
      </c>
      <c r="N41" s="29" t="str">
        <f t="shared" si="6"/>
        <v>Atm</v>
      </c>
      <c r="O41" s="29" t="s">
        <v>52</v>
      </c>
      <c r="P41" s="32">
        <v>82896.990000000005</v>
      </c>
      <c r="Q41" s="32">
        <v>0</v>
      </c>
      <c r="R41" s="32" t="str">
        <f t="shared" si="7"/>
        <v>Completed</v>
      </c>
      <c r="S41" s="29" t="s">
        <v>45</v>
      </c>
      <c r="T41" s="29" t="s">
        <v>46</v>
      </c>
    </row>
    <row r="42" spans="1:20">
      <c r="A42" s="29" t="s">
        <v>112</v>
      </c>
      <c r="B42" s="33" t="str">
        <f t="shared" si="0"/>
        <v>10-25</v>
      </c>
      <c r="C42" s="30">
        <v>45933</v>
      </c>
      <c r="D42" s="31" t="str">
        <f t="shared" si="1"/>
        <v>Hyderabad</v>
      </c>
      <c r="E42" s="29" t="s">
        <v>63</v>
      </c>
      <c r="F42" s="29" t="str">
        <f t="shared" si="2"/>
        <v>Hyderabad</v>
      </c>
      <c r="G42" s="29" t="s">
        <v>63</v>
      </c>
      <c r="H42" s="29" t="str">
        <f t="shared" si="3"/>
        <v>Sme</v>
      </c>
      <c r="I42" s="29" t="s">
        <v>55</v>
      </c>
      <c r="J42" s="29" t="str">
        <f t="shared" si="4"/>
        <v>Current</v>
      </c>
      <c r="K42" s="29" t="s">
        <v>50</v>
      </c>
      <c r="L42" s="29" t="str">
        <f t="shared" si="5"/>
        <v>Deposit</v>
      </c>
      <c r="M42" s="29" t="s">
        <v>43</v>
      </c>
      <c r="N42" s="29" t="str">
        <f t="shared" si="6"/>
        <v>Internet Banking</v>
      </c>
      <c r="O42" s="29" t="s">
        <v>78</v>
      </c>
      <c r="P42" s="32">
        <v>98639.48</v>
      </c>
      <c r="Q42" s="32">
        <v>0</v>
      </c>
      <c r="R42" s="32" t="str">
        <f t="shared" si="7"/>
        <v>Completed</v>
      </c>
      <c r="S42" s="29" t="s">
        <v>45</v>
      </c>
      <c r="T42" s="29" t="s">
        <v>65</v>
      </c>
    </row>
    <row r="43" spans="1:20">
      <c r="A43" s="29" t="s">
        <v>113</v>
      </c>
      <c r="B43" s="33" t="str">
        <f t="shared" si="0"/>
        <v>04-25</v>
      </c>
      <c r="C43" s="30">
        <v>45753</v>
      </c>
      <c r="D43" s="31" t="str">
        <f t="shared" si="1"/>
        <v>Larkana</v>
      </c>
      <c r="E43" s="29" t="s">
        <v>48</v>
      </c>
      <c r="F43" s="29" t="str">
        <f t="shared" si="2"/>
        <v>Larkana</v>
      </c>
      <c r="G43" s="29" t="s">
        <v>48</v>
      </c>
      <c r="H43" s="29" t="str">
        <f t="shared" si="3"/>
        <v>Sme</v>
      </c>
      <c r="I43" s="29" t="s">
        <v>55</v>
      </c>
      <c r="J43" s="29" t="str">
        <f t="shared" si="4"/>
        <v>Salary</v>
      </c>
      <c r="K43" s="29" t="s">
        <v>56</v>
      </c>
      <c r="L43" s="29" t="str">
        <f t="shared" si="5"/>
        <v>Bill Payment</v>
      </c>
      <c r="M43" s="29" t="s">
        <v>51</v>
      </c>
      <c r="N43" s="29" t="str">
        <f t="shared" si="6"/>
        <v>Mobile App</v>
      </c>
      <c r="O43" s="29" t="s">
        <v>61</v>
      </c>
      <c r="P43" s="32">
        <v>3240.83</v>
      </c>
      <c r="Q43" s="32">
        <v>17.420000000000002</v>
      </c>
      <c r="R43" s="32" t="str">
        <f t="shared" si="7"/>
        <v>Completed</v>
      </c>
      <c r="S43" s="29" t="s">
        <v>45</v>
      </c>
      <c r="T43" s="29" t="s">
        <v>46</v>
      </c>
    </row>
    <row r="44" spans="1:20">
      <c r="A44" s="29" t="s">
        <v>114</v>
      </c>
      <c r="B44" s="33" t="str">
        <f t="shared" si="0"/>
        <v>10-26</v>
      </c>
      <c r="C44" s="30">
        <v>46311</v>
      </c>
      <c r="D44" s="31" t="str">
        <f t="shared" si="1"/>
        <v>Nawabshah</v>
      </c>
      <c r="E44" s="29" t="s">
        <v>67</v>
      </c>
      <c r="F44" s="29" t="str">
        <f t="shared" si="2"/>
        <v>Shaheed Benazirabad</v>
      </c>
      <c r="G44" s="29" t="s">
        <v>68</v>
      </c>
      <c r="H44" s="29" t="str">
        <f t="shared" si="3"/>
        <v>Retail</v>
      </c>
      <c r="I44" s="29" t="s">
        <v>77</v>
      </c>
      <c r="J44" s="29" t="str">
        <f t="shared" si="4"/>
        <v>Salary</v>
      </c>
      <c r="K44" s="29" t="s">
        <v>56</v>
      </c>
      <c r="L44" s="29" t="str">
        <f t="shared" si="5"/>
        <v>Transfer</v>
      </c>
      <c r="M44" s="29" t="s">
        <v>83</v>
      </c>
      <c r="N44" s="29" t="str">
        <f t="shared" si="6"/>
        <v>Mobile App</v>
      </c>
      <c r="O44" s="29" t="s">
        <v>61</v>
      </c>
      <c r="P44" s="32">
        <v>107024.83</v>
      </c>
      <c r="Q44" s="32">
        <v>184.85</v>
      </c>
      <c r="R44" s="32" t="str">
        <f t="shared" si="7"/>
        <v>Completed</v>
      </c>
      <c r="S44" s="29" t="s">
        <v>45</v>
      </c>
      <c r="T44" s="29" t="s">
        <v>57</v>
      </c>
    </row>
    <row r="45" spans="1:20">
      <c r="A45" s="29" t="s">
        <v>115</v>
      </c>
      <c r="B45" s="33" t="str">
        <f t="shared" si="0"/>
        <v>12-25</v>
      </c>
      <c r="C45" s="30">
        <v>46004</v>
      </c>
      <c r="D45" s="31" t="str">
        <f t="shared" si="1"/>
        <v>Larkana</v>
      </c>
      <c r="E45" s="29" t="s">
        <v>48</v>
      </c>
      <c r="F45" s="29" t="str">
        <f t="shared" si="2"/>
        <v>Larkana</v>
      </c>
      <c r="G45" s="29" t="s">
        <v>48</v>
      </c>
      <c r="H45" s="29" t="str">
        <f t="shared" si="3"/>
        <v>Sme</v>
      </c>
      <c r="I45" s="29" t="s">
        <v>55</v>
      </c>
      <c r="J45" s="29" t="str">
        <f t="shared" si="4"/>
        <v>Salary</v>
      </c>
      <c r="K45" s="29" t="s">
        <v>56</v>
      </c>
      <c r="L45" s="29" t="str">
        <f t="shared" si="5"/>
        <v>Transfer</v>
      </c>
      <c r="M45" s="29" t="s">
        <v>83</v>
      </c>
      <c r="N45" s="29" t="str">
        <f t="shared" si="6"/>
        <v>Internet Banking</v>
      </c>
      <c r="O45" s="29" t="s">
        <v>78</v>
      </c>
      <c r="P45" s="32">
        <v>131758.1</v>
      </c>
      <c r="Q45" s="32">
        <v>149.22</v>
      </c>
      <c r="R45" s="32" t="str">
        <f t="shared" si="7"/>
        <v>Completed</v>
      </c>
      <c r="S45" s="29" t="s">
        <v>45</v>
      </c>
      <c r="T45" s="29" t="s">
        <v>70</v>
      </c>
    </row>
    <row r="46" spans="1:20">
      <c r="A46" s="29" t="s">
        <v>116</v>
      </c>
      <c r="B46" s="33" t="str">
        <f t="shared" si="0"/>
        <v>10-25</v>
      </c>
      <c r="C46" s="30">
        <v>45948</v>
      </c>
      <c r="D46" s="31" t="str">
        <f t="shared" si="1"/>
        <v>Sukher</v>
      </c>
      <c r="E46" s="29" t="s">
        <v>408</v>
      </c>
      <c r="F46" s="29" t="str">
        <f t="shared" si="2"/>
        <v>Sukher</v>
      </c>
      <c r="G46" s="29" t="s">
        <v>408</v>
      </c>
      <c r="H46" s="29" t="str">
        <f t="shared" si="3"/>
        <v>Sme</v>
      </c>
      <c r="I46" s="29" t="s">
        <v>55</v>
      </c>
      <c r="J46" s="29" t="str">
        <f t="shared" si="4"/>
        <v>Current</v>
      </c>
      <c r="K46" s="29" t="s">
        <v>50</v>
      </c>
      <c r="L46" s="29" t="str">
        <f t="shared" si="5"/>
        <v>Bill Payment</v>
      </c>
      <c r="M46" s="29" t="s">
        <v>51</v>
      </c>
      <c r="N46" s="29" t="str">
        <f t="shared" si="6"/>
        <v>Internet Banking</v>
      </c>
      <c r="O46" s="29" t="s">
        <v>78</v>
      </c>
      <c r="P46" s="32">
        <v>13336.49</v>
      </c>
      <c r="Q46" s="32">
        <v>40.04</v>
      </c>
      <c r="R46" s="32" t="str">
        <f t="shared" si="7"/>
        <v>Completed</v>
      </c>
      <c r="S46" s="29" t="s">
        <v>45</v>
      </c>
      <c r="T46" s="29" t="s">
        <v>65</v>
      </c>
    </row>
    <row r="47" spans="1:20">
      <c r="A47" s="29" t="s">
        <v>117</v>
      </c>
      <c r="B47" s="33" t="str">
        <f t="shared" si="0"/>
        <v>10-26</v>
      </c>
      <c r="C47" s="30">
        <v>46300</v>
      </c>
      <c r="D47" s="31" t="str">
        <f t="shared" si="1"/>
        <v>Larkana</v>
      </c>
      <c r="E47" s="29" t="s">
        <v>48</v>
      </c>
      <c r="F47" s="29" t="str">
        <f t="shared" si="2"/>
        <v>Larkana</v>
      </c>
      <c r="G47" s="29" t="s">
        <v>48</v>
      </c>
      <c r="H47" s="29" t="str">
        <f t="shared" si="3"/>
        <v>Retail</v>
      </c>
      <c r="I47" s="29" t="s">
        <v>77</v>
      </c>
      <c r="J47" s="29" t="str">
        <f t="shared" si="4"/>
        <v>Current</v>
      </c>
      <c r="K47" s="29" t="s">
        <v>50</v>
      </c>
      <c r="L47" s="29" t="str">
        <f t="shared" si="5"/>
        <v>Bill Payment</v>
      </c>
      <c r="M47" s="29" t="s">
        <v>51</v>
      </c>
      <c r="N47" s="29" t="str">
        <f t="shared" si="6"/>
        <v>Internet Banking</v>
      </c>
      <c r="O47" s="29" t="s">
        <v>78</v>
      </c>
      <c r="P47" s="32">
        <v>12867.55</v>
      </c>
      <c r="Q47" s="32">
        <v>81.83</v>
      </c>
      <c r="R47" s="32" t="str">
        <f t="shared" si="7"/>
        <v>Completed</v>
      </c>
      <c r="S47" s="29" t="s">
        <v>45</v>
      </c>
      <c r="T47" s="29" t="s">
        <v>46</v>
      </c>
    </row>
    <row r="48" spans="1:20">
      <c r="A48" s="29" t="s">
        <v>118</v>
      </c>
      <c r="B48" s="33" t="str">
        <f t="shared" si="0"/>
        <v>07-25</v>
      </c>
      <c r="C48" s="30">
        <v>45848</v>
      </c>
      <c r="D48" s="31" t="str">
        <f t="shared" si="1"/>
        <v>Karachi Main</v>
      </c>
      <c r="E48" s="29" t="s">
        <v>73</v>
      </c>
      <c r="F48" s="29" t="str">
        <f t="shared" si="2"/>
        <v>Karachi</v>
      </c>
      <c r="G48" s="29" t="s">
        <v>74</v>
      </c>
      <c r="H48" s="29" t="str">
        <f t="shared" si="3"/>
        <v>Sme</v>
      </c>
      <c r="I48" s="29" t="s">
        <v>55</v>
      </c>
      <c r="J48" s="29" t="str">
        <f t="shared" si="4"/>
        <v>Savings</v>
      </c>
      <c r="K48" s="29" t="s">
        <v>69</v>
      </c>
      <c r="L48" s="29" t="str">
        <f t="shared" si="5"/>
        <v>Withdrawal</v>
      </c>
      <c r="M48" s="29" t="s">
        <v>60</v>
      </c>
      <c r="N48" s="29" t="str">
        <f t="shared" si="6"/>
        <v>Mobile App</v>
      </c>
      <c r="O48" s="29" t="s">
        <v>61</v>
      </c>
      <c r="P48" s="32">
        <v>63073.7</v>
      </c>
      <c r="Q48" s="32">
        <v>0</v>
      </c>
      <c r="R48" s="32" t="str">
        <f t="shared" si="7"/>
        <v>Completed</v>
      </c>
      <c r="S48" s="29" t="s">
        <v>45</v>
      </c>
      <c r="T48" s="29" t="s">
        <v>75</v>
      </c>
    </row>
    <row r="49" spans="1:20">
      <c r="A49" s="29" t="s">
        <v>119</v>
      </c>
      <c r="B49" s="33" t="str">
        <f t="shared" si="0"/>
        <v>06-25</v>
      </c>
      <c r="C49" s="30">
        <v>45828</v>
      </c>
      <c r="D49" s="31" t="str">
        <f t="shared" si="1"/>
        <v>Hyderabad</v>
      </c>
      <c r="E49" s="29" t="s">
        <v>63</v>
      </c>
      <c r="F49" s="29" t="str">
        <f t="shared" si="2"/>
        <v>Hyderabad</v>
      </c>
      <c r="G49" s="29" t="s">
        <v>63</v>
      </c>
      <c r="H49" s="29" t="str">
        <f t="shared" si="3"/>
        <v>Retail</v>
      </c>
      <c r="I49" s="29" t="s">
        <v>41</v>
      </c>
      <c r="J49" s="29" t="str">
        <f t="shared" si="4"/>
        <v>Salary</v>
      </c>
      <c r="K49" s="29" t="s">
        <v>56</v>
      </c>
      <c r="L49" s="29" t="str">
        <f t="shared" si="5"/>
        <v>Transfer</v>
      </c>
      <c r="M49" s="29" t="s">
        <v>83</v>
      </c>
      <c r="N49" s="29" t="str">
        <f t="shared" si="6"/>
        <v>Atm</v>
      </c>
      <c r="O49" s="29" t="s">
        <v>52</v>
      </c>
      <c r="P49" s="32">
        <v>55516.160000000003</v>
      </c>
      <c r="Q49" s="32">
        <v>153.78</v>
      </c>
      <c r="R49" s="32" t="str">
        <f t="shared" si="7"/>
        <v>Completed</v>
      </c>
      <c r="S49" s="29" t="s">
        <v>45</v>
      </c>
      <c r="T49" s="29" t="s">
        <v>65</v>
      </c>
    </row>
    <row r="50" spans="1:20">
      <c r="A50" s="29" t="s">
        <v>120</v>
      </c>
      <c r="B50" s="33" t="str">
        <f t="shared" si="0"/>
        <v>10-26</v>
      </c>
      <c r="C50" s="30">
        <v>46296</v>
      </c>
      <c r="D50" s="31" t="str">
        <f t="shared" si="1"/>
        <v>Karachi Main</v>
      </c>
      <c r="E50" s="29" t="s">
        <v>73</v>
      </c>
      <c r="F50" s="29" t="str">
        <f t="shared" si="2"/>
        <v>Karachi</v>
      </c>
      <c r="G50" s="29" t="s">
        <v>74</v>
      </c>
      <c r="H50" s="29" t="str">
        <f t="shared" si="3"/>
        <v>Premium</v>
      </c>
      <c r="I50" s="29" t="s">
        <v>49</v>
      </c>
      <c r="J50" s="29" t="str">
        <f t="shared" si="4"/>
        <v>Salary</v>
      </c>
      <c r="K50" s="29" t="s">
        <v>56</v>
      </c>
      <c r="L50" s="29" t="str">
        <f t="shared" si="5"/>
        <v>Bill Payment</v>
      </c>
      <c r="M50" s="29" t="s">
        <v>51</v>
      </c>
      <c r="N50" s="29" t="str">
        <f t="shared" si="6"/>
        <v>Mobile App</v>
      </c>
      <c r="O50" s="29" t="s">
        <v>61</v>
      </c>
      <c r="P50" s="32">
        <v>10540.03</v>
      </c>
      <c r="Q50" s="32">
        <v>77.459999999999994</v>
      </c>
      <c r="R50" s="32" t="str">
        <f t="shared" si="7"/>
        <v>Completed</v>
      </c>
      <c r="S50" s="29" t="s">
        <v>45</v>
      </c>
      <c r="T50" s="29" t="s">
        <v>46</v>
      </c>
    </row>
    <row r="51" spans="1:20">
      <c r="A51" s="29" t="s">
        <v>121</v>
      </c>
      <c r="B51" s="33" t="str">
        <f t="shared" si="0"/>
        <v>09-25</v>
      </c>
      <c r="C51" s="30">
        <v>45913</v>
      </c>
      <c r="D51" s="31" t="str">
        <f t="shared" si="1"/>
        <v>Larkana</v>
      </c>
      <c r="E51" s="29" t="s">
        <v>48</v>
      </c>
      <c r="F51" s="29" t="str">
        <f t="shared" si="2"/>
        <v>Larkana</v>
      </c>
      <c r="G51" s="29" t="s">
        <v>48</v>
      </c>
      <c r="H51" s="29" t="str">
        <f t="shared" si="3"/>
        <v>Corporate</v>
      </c>
      <c r="I51" s="29" t="s">
        <v>64</v>
      </c>
      <c r="J51" s="29" t="str">
        <f t="shared" si="4"/>
        <v>Savings</v>
      </c>
      <c r="K51" s="29" t="s">
        <v>69</v>
      </c>
      <c r="L51" s="29" t="str">
        <f t="shared" si="5"/>
        <v>Deposit</v>
      </c>
      <c r="M51" s="29" t="s">
        <v>43</v>
      </c>
      <c r="N51" s="29" t="str">
        <f t="shared" si="6"/>
        <v>Atm</v>
      </c>
      <c r="O51" s="29" t="s">
        <v>52</v>
      </c>
      <c r="P51" s="32">
        <v>11668.44</v>
      </c>
      <c r="Q51" s="32">
        <v>0</v>
      </c>
      <c r="R51" s="32" t="str">
        <f t="shared" si="7"/>
        <v>Completed</v>
      </c>
      <c r="S51" s="29" t="s">
        <v>45</v>
      </c>
      <c r="T51" s="29" t="s">
        <v>46</v>
      </c>
    </row>
    <row r="52" spans="1:20">
      <c r="A52" s="29" t="s">
        <v>122</v>
      </c>
      <c r="B52" s="33" t="str">
        <f t="shared" si="0"/>
        <v>11-25</v>
      </c>
      <c r="C52" s="30">
        <v>45964</v>
      </c>
      <c r="D52" s="31" t="str">
        <f t="shared" si="1"/>
        <v>Larkana</v>
      </c>
      <c r="E52" s="29" t="s">
        <v>48</v>
      </c>
      <c r="F52" s="29" t="str">
        <f t="shared" si="2"/>
        <v>Larkana</v>
      </c>
      <c r="G52" s="29" t="s">
        <v>48</v>
      </c>
      <c r="H52" s="29" t="str">
        <f t="shared" si="3"/>
        <v>Corporate</v>
      </c>
      <c r="I52" s="29" t="s">
        <v>64</v>
      </c>
      <c r="J52" s="29" t="str">
        <f t="shared" si="4"/>
        <v>Current</v>
      </c>
      <c r="K52" s="29" t="s">
        <v>50</v>
      </c>
      <c r="L52" s="29" t="str">
        <f t="shared" si="5"/>
        <v>Transfer</v>
      </c>
      <c r="M52" s="29" t="s">
        <v>83</v>
      </c>
      <c r="N52" s="29" t="str">
        <f t="shared" si="6"/>
        <v>Internet Banking</v>
      </c>
      <c r="O52" s="29" t="s">
        <v>78</v>
      </c>
      <c r="P52" s="32">
        <v>137941.39000000001</v>
      </c>
      <c r="Q52" s="32">
        <v>178.91</v>
      </c>
      <c r="R52" s="32" t="str">
        <f t="shared" si="7"/>
        <v>Completed</v>
      </c>
      <c r="S52" s="29" t="s">
        <v>45</v>
      </c>
      <c r="T52" s="29" t="s">
        <v>70</v>
      </c>
    </row>
    <row r="53" spans="1:20">
      <c r="A53" s="29" t="s">
        <v>123</v>
      </c>
      <c r="B53" s="33" t="str">
        <f t="shared" si="0"/>
        <v>11-26</v>
      </c>
      <c r="C53" s="30">
        <v>46343</v>
      </c>
      <c r="D53" s="31" t="str">
        <f t="shared" si="1"/>
        <v>Sukher</v>
      </c>
      <c r="E53" s="29" t="s">
        <v>408</v>
      </c>
      <c r="F53" s="29" t="str">
        <f t="shared" si="2"/>
        <v>Sukher</v>
      </c>
      <c r="G53" s="29" t="s">
        <v>408</v>
      </c>
      <c r="H53" s="29" t="str">
        <f t="shared" si="3"/>
        <v>Corporate</v>
      </c>
      <c r="I53" s="29" t="s">
        <v>64</v>
      </c>
      <c r="J53" s="29" t="str">
        <f t="shared" si="4"/>
        <v>Savings</v>
      </c>
      <c r="K53" s="29" t="s">
        <v>69</v>
      </c>
      <c r="L53" s="29" t="str">
        <f t="shared" si="5"/>
        <v>Transfer</v>
      </c>
      <c r="M53" s="29" t="s">
        <v>83</v>
      </c>
      <c r="N53" s="29" t="str">
        <f t="shared" si="6"/>
        <v>Branch</v>
      </c>
      <c r="O53" s="29" t="s">
        <v>30</v>
      </c>
      <c r="P53" s="32">
        <v>85764.99</v>
      </c>
      <c r="Q53" s="32">
        <v>137.19999999999999</v>
      </c>
      <c r="R53" s="32" t="str">
        <f t="shared" si="7"/>
        <v>Completed</v>
      </c>
      <c r="S53" s="29" t="s">
        <v>45</v>
      </c>
      <c r="T53" s="29" t="s">
        <v>75</v>
      </c>
    </row>
    <row r="54" spans="1:20">
      <c r="A54" s="29" t="s">
        <v>124</v>
      </c>
      <c r="B54" s="33" t="str">
        <f t="shared" si="0"/>
        <v>07-25</v>
      </c>
      <c r="C54" s="30">
        <v>45854</v>
      </c>
      <c r="D54" s="31" t="str">
        <f t="shared" si="1"/>
        <v>Hyderabad</v>
      </c>
      <c r="E54" s="29" t="s">
        <v>63</v>
      </c>
      <c r="F54" s="29" t="str">
        <f t="shared" si="2"/>
        <v>Hyderabad</v>
      </c>
      <c r="G54" s="29" t="s">
        <v>63</v>
      </c>
      <c r="H54" s="29" t="str">
        <f t="shared" si="3"/>
        <v>Retail</v>
      </c>
      <c r="I54" s="29" t="s">
        <v>77</v>
      </c>
      <c r="J54" s="29" t="str">
        <f t="shared" si="4"/>
        <v>Current</v>
      </c>
      <c r="K54" s="29" t="s">
        <v>50</v>
      </c>
      <c r="L54" s="29" t="str">
        <f t="shared" si="5"/>
        <v>Transfer</v>
      </c>
      <c r="M54" s="29" t="s">
        <v>83</v>
      </c>
      <c r="N54" s="29" t="str">
        <f t="shared" si="6"/>
        <v>Internet Banking</v>
      </c>
      <c r="O54" s="29" t="s">
        <v>78</v>
      </c>
      <c r="P54" s="32">
        <v>128578.37</v>
      </c>
      <c r="Q54" s="32">
        <v>34.590000000000003</v>
      </c>
      <c r="R54" s="32" t="str">
        <f t="shared" si="7"/>
        <v>Completed</v>
      </c>
      <c r="S54" s="29" t="s">
        <v>45</v>
      </c>
      <c r="T54" s="29" t="s">
        <v>53</v>
      </c>
    </row>
    <row r="55" spans="1:20">
      <c r="A55" s="29" t="s">
        <v>125</v>
      </c>
      <c r="B55" s="33" t="str">
        <f t="shared" si="0"/>
        <v>01-25</v>
      </c>
      <c r="C55" s="30">
        <v>45675</v>
      </c>
      <c r="D55" s="31" t="str">
        <f t="shared" si="1"/>
        <v>Sukher</v>
      </c>
      <c r="E55" s="29" t="s">
        <v>408</v>
      </c>
      <c r="F55" s="29" t="str">
        <f t="shared" si="2"/>
        <v>Sukher</v>
      </c>
      <c r="G55" s="29" t="s">
        <v>408</v>
      </c>
      <c r="H55" s="29" t="str">
        <f t="shared" si="3"/>
        <v>Retail</v>
      </c>
      <c r="I55" s="29" t="s">
        <v>77</v>
      </c>
      <c r="J55" s="29" t="str">
        <f t="shared" si="4"/>
        <v>Current</v>
      </c>
      <c r="K55" s="29" t="s">
        <v>50</v>
      </c>
      <c r="L55" s="29" t="str">
        <f t="shared" si="5"/>
        <v>Bill Payment</v>
      </c>
      <c r="M55" s="29" t="s">
        <v>51</v>
      </c>
      <c r="N55" s="29" t="str">
        <f t="shared" si="6"/>
        <v>Mobile App</v>
      </c>
      <c r="O55" s="29" t="s">
        <v>44</v>
      </c>
      <c r="P55" s="32">
        <v>9378.06</v>
      </c>
      <c r="Q55" s="32">
        <v>17.8</v>
      </c>
      <c r="R55" s="32" t="str">
        <f t="shared" si="7"/>
        <v>Completed</v>
      </c>
      <c r="S55" s="29" t="s">
        <v>45</v>
      </c>
      <c r="T55" s="29" t="s">
        <v>57</v>
      </c>
    </row>
    <row r="56" spans="1:20">
      <c r="A56" s="29" t="s">
        <v>126</v>
      </c>
      <c r="B56" s="33" t="str">
        <f t="shared" si="0"/>
        <v>05-26</v>
      </c>
      <c r="C56" s="30">
        <v>46143</v>
      </c>
      <c r="D56" s="31" t="str">
        <f t="shared" si="1"/>
        <v>Karachi Main</v>
      </c>
      <c r="E56" s="29" t="s">
        <v>73</v>
      </c>
      <c r="F56" s="29" t="str">
        <f t="shared" si="2"/>
        <v>Karachi</v>
      </c>
      <c r="G56" s="29" t="s">
        <v>74</v>
      </c>
      <c r="H56" s="29" t="str">
        <f t="shared" si="3"/>
        <v>Retail</v>
      </c>
      <c r="I56" s="29" t="s">
        <v>77</v>
      </c>
      <c r="J56" s="29" t="str">
        <f t="shared" si="4"/>
        <v>Current</v>
      </c>
      <c r="K56" s="29" t="s">
        <v>50</v>
      </c>
      <c r="L56" s="29" t="str">
        <f t="shared" si="5"/>
        <v>Deposit</v>
      </c>
      <c r="M56" s="29" t="s">
        <v>43</v>
      </c>
      <c r="N56" s="29" t="str">
        <f t="shared" si="6"/>
        <v>Mobile App</v>
      </c>
      <c r="O56" s="29" t="s">
        <v>61</v>
      </c>
      <c r="P56" s="32">
        <v>24296.1</v>
      </c>
      <c r="Q56" s="32">
        <v>0</v>
      </c>
      <c r="R56" s="32" t="str">
        <f t="shared" si="7"/>
        <v>Completed</v>
      </c>
      <c r="S56" s="29" t="s">
        <v>45</v>
      </c>
      <c r="T56" s="29" t="s">
        <v>57</v>
      </c>
    </row>
    <row r="57" spans="1:20">
      <c r="A57" s="29" t="s">
        <v>127</v>
      </c>
      <c r="B57" s="33" t="str">
        <f t="shared" si="0"/>
        <v>03-25</v>
      </c>
      <c r="C57" s="30">
        <v>45741</v>
      </c>
      <c r="D57" s="31" t="str">
        <f t="shared" si="1"/>
        <v>Nawabshah</v>
      </c>
      <c r="E57" s="29" t="s">
        <v>67</v>
      </c>
      <c r="F57" s="29" t="str">
        <f t="shared" si="2"/>
        <v>Shaheed Benazirabad</v>
      </c>
      <c r="G57" s="29" t="s">
        <v>68</v>
      </c>
      <c r="H57" s="29" t="str">
        <f t="shared" si="3"/>
        <v>Retail</v>
      </c>
      <c r="I57" s="29" t="s">
        <v>77</v>
      </c>
      <c r="J57" s="29" t="str">
        <f t="shared" si="4"/>
        <v>Salary</v>
      </c>
      <c r="K57" s="29" t="s">
        <v>56</v>
      </c>
      <c r="L57" s="29" t="str">
        <f t="shared" si="5"/>
        <v>Deposit</v>
      </c>
      <c r="M57" s="29" t="s">
        <v>43</v>
      </c>
      <c r="N57" s="29" t="str">
        <f t="shared" si="6"/>
        <v>Internet Banking</v>
      </c>
      <c r="O57" s="29" t="s">
        <v>78</v>
      </c>
      <c r="P57" s="32">
        <v>32457.13</v>
      </c>
      <c r="Q57" s="32">
        <v>0</v>
      </c>
      <c r="R57" s="32" t="str">
        <f t="shared" si="7"/>
        <v>Completed</v>
      </c>
      <c r="S57" s="29" t="s">
        <v>45</v>
      </c>
      <c r="T57" s="29" t="s">
        <v>65</v>
      </c>
    </row>
    <row r="58" spans="1:20">
      <c r="A58" s="29" t="s">
        <v>128</v>
      </c>
      <c r="B58" s="33" t="str">
        <f t="shared" si="0"/>
        <v>05-25</v>
      </c>
      <c r="C58" s="30">
        <v>45781</v>
      </c>
      <c r="D58" s="31" t="str">
        <f t="shared" si="1"/>
        <v>Larkana</v>
      </c>
      <c r="E58" s="29" t="s">
        <v>48</v>
      </c>
      <c r="F58" s="29" t="str">
        <f t="shared" si="2"/>
        <v>Larkana</v>
      </c>
      <c r="G58" s="29" t="s">
        <v>48</v>
      </c>
      <c r="H58" s="29" t="str">
        <f t="shared" si="3"/>
        <v>Sme</v>
      </c>
      <c r="I58" s="29" t="s">
        <v>55</v>
      </c>
      <c r="J58" s="29" t="str">
        <f t="shared" si="4"/>
        <v>Salary</v>
      </c>
      <c r="K58" s="29" t="s">
        <v>56</v>
      </c>
      <c r="L58" s="29" t="str">
        <f t="shared" si="5"/>
        <v>Bill Payment</v>
      </c>
      <c r="M58" s="29" t="s">
        <v>51</v>
      </c>
      <c r="N58" s="29" t="str">
        <f t="shared" si="6"/>
        <v>Branch</v>
      </c>
      <c r="O58" s="29" t="s">
        <v>30</v>
      </c>
      <c r="P58" s="32">
        <v>4816.26</v>
      </c>
      <c r="Q58" s="32">
        <v>10.49</v>
      </c>
      <c r="R58" s="32" t="str">
        <f t="shared" si="7"/>
        <v>Completed</v>
      </c>
      <c r="S58" s="29" t="s">
        <v>45</v>
      </c>
      <c r="T58" s="29" t="s">
        <v>57</v>
      </c>
    </row>
    <row r="59" spans="1:20">
      <c r="A59" s="29" t="s">
        <v>129</v>
      </c>
      <c r="B59" s="33" t="str">
        <f t="shared" si="0"/>
        <v>10-26</v>
      </c>
      <c r="C59" s="30">
        <v>46313</v>
      </c>
      <c r="D59" s="31" t="str">
        <f t="shared" si="1"/>
        <v>Larkana</v>
      </c>
      <c r="E59" s="29" t="s">
        <v>48</v>
      </c>
      <c r="F59" s="29" t="str">
        <f t="shared" si="2"/>
        <v>Larkana</v>
      </c>
      <c r="G59" s="29" t="s">
        <v>48</v>
      </c>
      <c r="H59" s="29" t="str">
        <f t="shared" si="3"/>
        <v>Premium</v>
      </c>
      <c r="I59" s="29" t="s">
        <v>49</v>
      </c>
      <c r="J59" s="29" t="str">
        <f t="shared" si="4"/>
        <v>Salary</v>
      </c>
      <c r="K59" s="29" t="s">
        <v>56</v>
      </c>
      <c r="L59" s="29" t="str">
        <f t="shared" si="5"/>
        <v>Deposit</v>
      </c>
      <c r="M59" s="29" t="s">
        <v>43</v>
      </c>
      <c r="N59" s="29" t="str">
        <f t="shared" si="6"/>
        <v>Mobile App</v>
      </c>
      <c r="O59" s="29" t="s">
        <v>61</v>
      </c>
      <c r="P59" s="32">
        <v>55260.7</v>
      </c>
      <c r="Q59" s="32">
        <v>0</v>
      </c>
      <c r="R59" s="32" t="str">
        <f t="shared" si="7"/>
        <v>Pending</v>
      </c>
      <c r="S59" s="29" t="s">
        <v>84</v>
      </c>
      <c r="T59" s="29" t="s">
        <v>53</v>
      </c>
    </row>
    <row r="60" spans="1:20">
      <c r="A60" s="29" t="s">
        <v>130</v>
      </c>
      <c r="B60" s="33" t="str">
        <f t="shared" si="0"/>
        <v>11-25</v>
      </c>
      <c r="C60" s="30">
        <v>45976</v>
      </c>
      <c r="D60" s="31" t="str">
        <f t="shared" si="1"/>
        <v>Larkana</v>
      </c>
      <c r="E60" s="29" t="s">
        <v>48</v>
      </c>
      <c r="F60" s="29" t="str">
        <f t="shared" si="2"/>
        <v>Larkana</v>
      </c>
      <c r="G60" s="29" t="s">
        <v>48</v>
      </c>
      <c r="H60" s="29" t="str">
        <f t="shared" si="3"/>
        <v>Premium</v>
      </c>
      <c r="I60" s="29" t="s">
        <v>49</v>
      </c>
      <c r="J60" s="29" t="str">
        <f t="shared" si="4"/>
        <v>Current</v>
      </c>
      <c r="K60" s="29" t="s">
        <v>50</v>
      </c>
      <c r="L60" s="29" t="str">
        <f t="shared" si="5"/>
        <v>Withdrawal</v>
      </c>
      <c r="M60" s="29" t="s">
        <v>60</v>
      </c>
      <c r="N60" s="29" t="str">
        <f t="shared" si="6"/>
        <v>Atm</v>
      </c>
      <c r="O60" s="29" t="s">
        <v>52</v>
      </c>
      <c r="P60" s="32">
        <v>44712.73</v>
      </c>
      <c r="Q60" s="32">
        <v>0</v>
      </c>
      <c r="R60" s="32" t="str">
        <f t="shared" si="7"/>
        <v>Completed</v>
      </c>
      <c r="S60" s="29" t="s">
        <v>45</v>
      </c>
      <c r="T60" s="29" t="s">
        <v>70</v>
      </c>
    </row>
    <row r="61" spans="1:20">
      <c r="A61" s="29" t="s">
        <v>131</v>
      </c>
      <c r="B61" s="33" t="str">
        <f t="shared" si="0"/>
        <v>10-25</v>
      </c>
      <c r="C61" s="30">
        <v>45949</v>
      </c>
      <c r="D61" s="31" t="str">
        <f t="shared" si="1"/>
        <v>Karachi Main</v>
      </c>
      <c r="E61" s="29" t="s">
        <v>73</v>
      </c>
      <c r="F61" s="29" t="str">
        <f t="shared" si="2"/>
        <v>Karachi</v>
      </c>
      <c r="G61" s="29" t="s">
        <v>74</v>
      </c>
      <c r="H61" s="29" t="str">
        <f t="shared" si="3"/>
        <v>Retail</v>
      </c>
      <c r="I61" s="29" t="s">
        <v>77</v>
      </c>
      <c r="J61" s="29" t="str">
        <f t="shared" si="4"/>
        <v>Salary</v>
      </c>
      <c r="K61" s="29" t="s">
        <v>56</v>
      </c>
      <c r="L61" s="29" t="str">
        <f t="shared" si="5"/>
        <v>Transfer</v>
      </c>
      <c r="M61" s="29" t="s">
        <v>83</v>
      </c>
      <c r="N61" s="29" t="str">
        <f t="shared" si="6"/>
        <v>Internet Banking</v>
      </c>
      <c r="O61" s="29" t="s">
        <v>78</v>
      </c>
      <c r="P61" s="32">
        <v>13873.66</v>
      </c>
      <c r="Q61" s="32">
        <v>96.13</v>
      </c>
      <c r="R61" s="32" t="str">
        <f t="shared" si="7"/>
        <v>Completed</v>
      </c>
      <c r="S61" s="29" t="s">
        <v>45</v>
      </c>
      <c r="T61" s="29" t="s">
        <v>65</v>
      </c>
    </row>
    <row r="62" spans="1:20">
      <c r="A62" s="29" t="s">
        <v>132</v>
      </c>
      <c r="B62" s="33" t="str">
        <f t="shared" si="0"/>
        <v>07-26</v>
      </c>
      <c r="C62" s="30">
        <v>46216</v>
      </c>
      <c r="D62" s="31" t="str">
        <f t="shared" si="1"/>
        <v>Hyderabad</v>
      </c>
      <c r="E62" s="29" t="s">
        <v>63</v>
      </c>
      <c r="F62" s="29" t="str">
        <f t="shared" si="2"/>
        <v>Hyderabad</v>
      </c>
      <c r="G62" s="29" t="s">
        <v>63</v>
      </c>
      <c r="H62" s="29" t="str">
        <f t="shared" si="3"/>
        <v>Premium</v>
      </c>
      <c r="I62" s="29" t="s">
        <v>49</v>
      </c>
      <c r="J62" s="29" t="str">
        <f t="shared" si="4"/>
        <v>Salary</v>
      </c>
      <c r="K62" s="29" t="s">
        <v>56</v>
      </c>
      <c r="L62" s="29" t="str">
        <f t="shared" si="5"/>
        <v>Deposit</v>
      </c>
      <c r="M62" s="29" t="s">
        <v>43</v>
      </c>
      <c r="N62" s="29" t="str">
        <f t="shared" si="6"/>
        <v>Branch</v>
      </c>
      <c r="O62" s="29" t="s">
        <v>30</v>
      </c>
      <c r="P62" s="32">
        <v>69368.53</v>
      </c>
      <c r="Q62" s="32">
        <v>0</v>
      </c>
      <c r="R62" s="32" t="str">
        <f t="shared" si="7"/>
        <v>Completed</v>
      </c>
      <c r="S62" s="29" t="s">
        <v>45</v>
      </c>
      <c r="T62" s="29" t="s">
        <v>65</v>
      </c>
    </row>
    <row r="63" spans="1:20">
      <c r="A63" s="29" t="s">
        <v>133</v>
      </c>
      <c r="B63" s="33" t="str">
        <f t="shared" si="0"/>
        <v>10-25</v>
      </c>
      <c r="C63" s="30">
        <v>45945</v>
      </c>
      <c r="D63" s="31" t="str">
        <f t="shared" si="1"/>
        <v>Karachi Main</v>
      </c>
      <c r="E63" s="29" t="s">
        <v>73</v>
      </c>
      <c r="F63" s="29" t="str">
        <f t="shared" si="2"/>
        <v>Karachi</v>
      </c>
      <c r="G63" s="29" t="s">
        <v>74</v>
      </c>
      <c r="H63" s="29" t="str">
        <f t="shared" si="3"/>
        <v>Corporate</v>
      </c>
      <c r="I63" s="29" t="s">
        <v>64</v>
      </c>
      <c r="J63" s="29" t="str">
        <f t="shared" si="4"/>
        <v>Salary</v>
      </c>
      <c r="K63" s="29" t="s">
        <v>56</v>
      </c>
      <c r="L63" s="29" t="str">
        <f t="shared" si="5"/>
        <v>Bill Payment</v>
      </c>
      <c r="M63" s="29" t="s">
        <v>51</v>
      </c>
      <c r="N63" s="29" t="str">
        <f t="shared" si="6"/>
        <v>Internet Banking</v>
      </c>
      <c r="O63" s="29" t="s">
        <v>78</v>
      </c>
      <c r="P63" s="32">
        <v>16961.72</v>
      </c>
      <c r="Q63" s="32">
        <v>51.77</v>
      </c>
      <c r="R63" s="32" t="str">
        <f t="shared" si="7"/>
        <v>Completed</v>
      </c>
      <c r="S63" s="29" t="s">
        <v>45</v>
      </c>
      <c r="T63" s="29" t="s">
        <v>57</v>
      </c>
    </row>
    <row r="64" spans="1:20">
      <c r="A64" s="29" t="s">
        <v>134</v>
      </c>
      <c r="B64" s="33" t="str">
        <f t="shared" si="0"/>
        <v>04-25</v>
      </c>
      <c r="C64" s="30">
        <v>45775</v>
      </c>
      <c r="D64" s="31" t="str">
        <f t="shared" si="1"/>
        <v>Nawabshah</v>
      </c>
      <c r="E64" s="29" t="s">
        <v>67</v>
      </c>
      <c r="F64" s="29" t="str">
        <f t="shared" si="2"/>
        <v>Shaheed Benazirabad</v>
      </c>
      <c r="G64" s="29" t="s">
        <v>68</v>
      </c>
      <c r="H64" s="29" t="str">
        <f t="shared" si="3"/>
        <v>Sme</v>
      </c>
      <c r="I64" s="29" t="s">
        <v>55</v>
      </c>
      <c r="J64" s="29" t="str">
        <f t="shared" si="4"/>
        <v>Savings</v>
      </c>
      <c r="K64" s="29" t="s">
        <v>69</v>
      </c>
      <c r="L64" s="29" t="str">
        <f t="shared" si="5"/>
        <v>Withdrawal</v>
      </c>
      <c r="M64" s="29" t="s">
        <v>60</v>
      </c>
      <c r="N64" s="29" t="str">
        <f t="shared" si="6"/>
        <v>Branch</v>
      </c>
      <c r="O64" s="29" t="s">
        <v>30</v>
      </c>
      <c r="P64" s="32">
        <v>65027</v>
      </c>
      <c r="Q64" s="32">
        <v>0</v>
      </c>
      <c r="R64" s="32" t="str">
        <f t="shared" si="7"/>
        <v>Completed</v>
      </c>
      <c r="S64" s="29" t="s">
        <v>45</v>
      </c>
      <c r="T64" s="29" t="s">
        <v>46</v>
      </c>
    </row>
    <row r="65" spans="1:20">
      <c r="A65" s="29" t="s">
        <v>135</v>
      </c>
      <c r="B65" s="33" t="str">
        <f t="shared" si="0"/>
        <v>09-26</v>
      </c>
      <c r="C65" s="30">
        <v>46287</v>
      </c>
      <c r="D65" s="31" t="str">
        <f t="shared" si="1"/>
        <v>Karachi Main</v>
      </c>
      <c r="E65" s="29" t="s">
        <v>73</v>
      </c>
      <c r="F65" s="29" t="str">
        <f t="shared" si="2"/>
        <v>Karachi</v>
      </c>
      <c r="G65" s="29" t="s">
        <v>74</v>
      </c>
      <c r="H65" s="29" t="str">
        <f t="shared" si="3"/>
        <v>Premium</v>
      </c>
      <c r="I65" s="29" t="s">
        <v>49</v>
      </c>
      <c r="J65" s="29" t="str">
        <f t="shared" si="4"/>
        <v>Current</v>
      </c>
      <c r="K65" s="29" t="s">
        <v>50</v>
      </c>
      <c r="L65" s="29" t="str">
        <f t="shared" si="5"/>
        <v>Bill Payment</v>
      </c>
      <c r="M65" s="29" t="s">
        <v>51</v>
      </c>
      <c r="N65" s="29" t="str">
        <f t="shared" si="6"/>
        <v>Atm</v>
      </c>
      <c r="O65" s="29" t="s">
        <v>52</v>
      </c>
      <c r="P65" s="32">
        <v>940.9</v>
      </c>
      <c r="Q65" s="32">
        <v>47.68</v>
      </c>
      <c r="R65" s="32" t="str">
        <f t="shared" si="7"/>
        <v>Completed</v>
      </c>
      <c r="S65" s="29" t="s">
        <v>45</v>
      </c>
      <c r="T65" s="29" t="s">
        <v>53</v>
      </c>
    </row>
    <row r="66" spans="1:20">
      <c r="A66" s="29" t="s">
        <v>136</v>
      </c>
      <c r="B66" s="33" t="str">
        <f t="shared" ref="B66:B129" si="8">TEXT(C:C,"mm-yy")</f>
        <v>06-25</v>
      </c>
      <c r="C66" s="30">
        <v>45819</v>
      </c>
      <c r="D66" s="31" t="str">
        <f t="shared" ref="D66:D129" si="9">PROPER(TRIM(E:E))</f>
        <v>Karachi Main</v>
      </c>
      <c r="E66" s="29" t="s">
        <v>73</v>
      </c>
      <c r="F66" s="29" t="str">
        <f t="shared" ref="F66:F129" si="10">PROPER(TRIM(G:G))</f>
        <v>Karachi</v>
      </c>
      <c r="G66" s="29" t="s">
        <v>74</v>
      </c>
      <c r="H66" s="29" t="str">
        <f t="shared" ref="H66:H129" si="11">PROPER(TRIM(I:I))</f>
        <v>Corporate</v>
      </c>
      <c r="I66" s="29" t="s">
        <v>64</v>
      </c>
      <c r="J66" s="29" t="str">
        <f t="shared" ref="J66:J129" si="12">PROPER(TRIM(K:K))</f>
        <v>Savings</v>
      </c>
      <c r="K66" s="29" t="s">
        <v>69</v>
      </c>
      <c r="L66" s="29" t="str">
        <f t="shared" ref="L66:L129" si="13">PROPER(TRIM(M:M))</f>
        <v>Transfer</v>
      </c>
      <c r="M66" s="29" t="s">
        <v>83</v>
      </c>
      <c r="N66" s="29" t="str">
        <f t="shared" ref="N66:N129" si="14">PROPER(TRIM(O:O))</f>
        <v>Internet Banking</v>
      </c>
      <c r="O66" s="29" t="s">
        <v>78</v>
      </c>
      <c r="P66" s="32">
        <v>93805.86</v>
      </c>
      <c r="Q66" s="32">
        <v>31.16</v>
      </c>
      <c r="R66" s="32" t="str">
        <f t="shared" ref="R66:R129" si="15">PROPER(TRIM(S:S))</f>
        <v>Completed</v>
      </c>
      <c r="S66" s="29" t="s">
        <v>45</v>
      </c>
      <c r="T66" s="29" t="s">
        <v>53</v>
      </c>
    </row>
    <row r="67" spans="1:20">
      <c r="A67" s="29" t="s">
        <v>137</v>
      </c>
      <c r="B67" s="33" t="str">
        <f t="shared" si="8"/>
        <v>04-25</v>
      </c>
      <c r="C67" s="30">
        <v>45774</v>
      </c>
      <c r="D67" s="31" t="str">
        <f t="shared" si="9"/>
        <v>Sukher</v>
      </c>
      <c r="E67" s="29" t="s">
        <v>408</v>
      </c>
      <c r="F67" s="29" t="str">
        <f t="shared" si="10"/>
        <v>Sukher</v>
      </c>
      <c r="G67" s="29" t="s">
        <v>408</v>
      </c>
      <c r="H67" s="29" t="str">
        <f t="shared" si="11"/>
        <v>Premium</v>
      </c>
      <c r="I67" s="29" t="s">
        <v>49</v>
      </c>
      <c r="J67" s="29" t="str">
        <f t="shared" si="12"/>
        <v>Salary</v>
      </c>
      <c r="K67" s="29" t="s">
        <v>56</v>
      </c>
      <c r="L67" s="29" t="str">
        <f t="shared" si="13"/>
        <v>Deposit</v>
      </c>
      <c r="M67" s="29" t="s">
        <v>43</v>
      </c>
      <c r="N67" s="29" t="str">
        <f t="shared" si="14"/>
        <v>Branch</v>
      </c>
      <c r="O67" s="29" t="s">
        <v>30</v>
      </c>
      <c r="P67" s="32">
        <v>18038.14</v>
      </c>
      <c r="Q67" s="32">
        <v>0</v>
      </c>
      <c r="R67" s="32" t="str">
        <f t="shared" si="15"/>
        <v>Completed</v>
      </c>
      <c r="S67" s="29" t="s">
        <v>45</v>
      </c>
      <c r="T67" s="29" t="s">
        <v>65</v>
      </c>
    </row>
    <row r="68" spans="1:20">
      <c r="A68" s="29" t="s">
        <v>138</v>
      </c>
      <c r="B68" s="33" t="str">
        <f t="shared" si="8"/>
        <v>12-26</v>
      </c>
      <c r="C68" s="30">
        <v>46364</v>
      </c>
      <c r="D68" s="31" t="str">
        <f t="shared" si="9"/>
        <v>Hyderabad</v>
      </c>
      <c r="E68" s="29" t="s">
        <v>63</v>
      </c>
      <c r="F68" s="29" t="str">
        <f t="shared" si="10"/>
        <v>Hyderabad</v>
      </c>
      <c r="G68" s="29" t="s">
        <v>63</v>
      </c>
      <c r="H68" s="29" t="str">
        <f t="shared" si="11"/>
        <v>Premium</v>
      </c>
      <c r="I68" s="29" t="s">
        <v>49</v>
      </c>
      <c r="J68" s="29" t="str">
        <f t="shared" si="12"/>
        <v>Current</v>
      </c>
      <c r="K68" s="29" t="s">
        <v>50</v>
      </c>
      <c r="L68" s="29" t="str">
        <f t="shared" si="13"/>
        <v>Withdrawal</v>
      </c>
      <c r="M68" s="29" t="s">
        <v>60</v>
      </c>
      <c r="N68" s="29" t="str">
        <f t="shared" si="14"/>
        <v>Branch</v>
      </c>
      <c r="O68" s="29" t="s">
        <v>30</v>
      </c>
      <c r="P68" s="32">
        <v>22991.47</v>
      </c>
      <c r="Q68" s="32">
        <v>0</v>
      </c>
      <c r="R68" s="32" t="str">
        <f t="shared" si="15"/>
        <v>Completed</v>
      </c>
      <c r="S68" s="29" t="s">
        <v>45</v>
      </c>
      <c r="T68" s="29" t="s">
        <v>65</v>
      </c>
    </row>
    <row r="69" spans="1:20">
      <c r="A69" s="29" t="s">
        <v>139</v>
      </c>
      <c r="B69" s="33" t="str">
        <f t="shared" si="8"/>
        <v>08-25</v>
      </c>
      <c r="C69" s="30">
        <v>45882</v>
      </c>
      <c r="D69" s="31" t="str">
        <f t="shared" si="9"/>
        <v>Sukher</v>
      </c>
      <c r="E69" s="29" t="s">
        <v>408</v>
      </c>
      <c r="F69" s="29" t="str">
        <f t="shared" si="10"/>
        <v>Sukher</v>
      </c>
      <c r="G69" s="29" t="s">
        <v>408</v>
      </c>
      <c r="H69" s="29" t="str">
        <f t="shared" si="11"/>
        <v>Retail</v>
      </c>
      <c r="I69" s="29" t="s">
        <v>77</v>
      </c>
      <c r="J69" s="29" t="str">
        <f t="shared" si="12"/>
        <v>Savings</v>
      </c>
      <c r="K69" s="29" t="s">
        <v>140</v>
      </c>
      <c r="L69" s="29" t="str">
        <f t="shared" si="13"/>
        <v>Transfer</v>
      </c>
      <c r="M69" s="29" t="s">
        <v>83</v>
      </c>
      <c r="N69" s="29" t="str">
        <f t="shared" si="14"/>
        <v>Atm</v>
      </c>
      <c r="O69" s="29" t="s">
        <v>52</v>
      </c>
      <c r="P69" s="32">
        <v>144934.95000000001</v>
      </c>
      <c r="Q69" s="32">
        <v>95.83</v>
      </c>
      <c r="R69" s="32" t="str">
        <f t="shared" si="15"/>
        <v>Completed</v>
      </c>
      <c r="S69" s="29" t="s">
        <v>45</v>
      </c>
      <c r="T69" s="29" t="s">
        <v>57</v>
      </c>
    </row>
    <row r="70" spans="1:20">
      <c r="A70" s="29" t="s">
        <v>141</v>
      </c>
      <c r="B70" s="33" t="str">
        <f t="shared" si="8"/>
        <v>06-25</v>
      </c>
      <c r="C70" s="30">
        <v>45812</v>
      </c>
      <c r="D70" s="31" t="str">
        <f t="shared" si="9"/>
        <v>Nawabshah</v>
      </c>
      <c r="E70" s="29" t="s">
        <v>67</v>
      </c>
      <c r="F70" s="29" t="str">
        <f t="shared" si="10"/>
        <v>Shaheed Benazirabad</v>
      </c>
      <c r="G70" s="29" t="s">
        <v>68</v>
      </c>
      <c r="H70" s="29" t="str">
        <f t="shared" si="11"/>
        <v>Retail</v>
      </c>
      <c r="I70" s="29" t="s">
        <v>77</v>
      </c>
      <c r="J70" s="29" t="str">
        <f t="shared" si="12"/>
        <v>Savings</v>
      </c>
      <c r="K70" s="29" t="s">
        <v>69</v>
      </c>
      <c r="L70" s="29" t="str">
        <f t="shared" si="13"/>
        <v>Deposit</v>
      </c>
      <c r="M70" s="29" t="s">
        <v>43</v>
      </c>
      <c r="N70" s="29" t="str">
        <f t="shared" si="14"/>
        <v>Branch</v>
      </c>
      <c r="O70" s="29" t="s">
        <v>30</v>
      </c>
      <c r="P70" s="32">
        <v>90385.43</v>
      </c>
      <c r="Q70" s="32">
        <v>0</v>
      </c>
      <c r="R70" s="32" t="str">
        <f t="shared" si="15"/>
        <v>Completed</v>
      </c>
      <c r="S70" s="29" t="s">
        <v>45</v>
      </c>
      <c r="T70" s="29" t="s">
        <v>57</v>
      </c>
    </row>
    <row r="71" spans="1:20">
      <c r="A71" s="29" t="s">
        <v>142</v>
      </c>
      <c r="B71" s="33" t="str">
        <f t="shared" si="8"/>
        <v>09-26</v>
      </c>
      <c r="C71" s="30">
        <v>46289</v>
      </c>
      <c r="D71" s="31" t="str">
        <f t="shared" si="9"/>
        <v>Larkana</v>
      </c>
      <c r="E71" s="29" t="s">
        <v>48</v>
      </c>
      <c r="F71" s="29" t="str">
        <f t="shared" si="10"/>
        <v>Larkana</v>
      </c>
      <c r="G71" s="29" t="s">
        <v>48</v>
      </c>
      <c r="H71" s="29" t="str">
        <f t="shared" si="11"/>
        <v>Retail</v>
      </c>
      <c r="I71" s="29" t="s">
        <v>77</v>
      </c>
      <c r="J71" s="29" t="str">
        <f t="shared" si="12"/>
        <v>Savings</v>
      </c>
      <c r="K71" s="29" t="s">
        <v>69</v>
      </c>
      <c r="L71" s="29" t="str">
        <f t="shared" si="13"/>
        <v>Withdrawal</v>
      </c>
      <c r="M71" s="29" t="s">
        <v>60</v>
      </c>
      <c r="N71" s="29" t="str">
        <f t="shared" si="14"/>
        <v>Atm</v>
      </c>
      <c r="O71" s="29" t="s">
        <v>52</v>
      </c>
      <c r="P71" s="32">
        <v>12007.08</v>
      </c>
      <c r="Q71" s="32">
        <v>0</v>
      </c>
      <c r="R71" s="32" t="str">
        <f t="shared" si="15"/>
        <v>Completed</v>
      </c>
      <c r="S71" s="29" t="s">
        <v>45</v>
      </c>
      <c r="T71" s="29" t="s">
        <v>46</v>
      </c>
    </row>
    <row r="72" spans="1:20">
      <c r="A72" s="29" t="s">
        <v>143</v>
      </c>
      <c r="B72" s="33" t="str">
        <f t="shared" si="8"/>
        <v>07-25</v>
      </c>
      <c r="C72" s="30">
        <v>45846</v>
      </c>
      <c r="D72" s="31" t="str">
        <f t="shared" si="9"/>
        <v>Karachi Main</v>
      </c>
      <c r="E72" s="29" t="s">
        <v>73</v>
      </c>
      <c r="F72" s="29" t="str">
        <f t="shared" si="10"/>
        <v>Karachi</v>
      </c>
      <c r="G72" s="29" t="s">
        <v>74</v>
      </c>
      <c r="H72" s="29" t="str">
        <f t="shared" si="11"/>
        <v>Corporate</v>
      </c>
      <c r="I72" s="29" t="s">
        <v>64</v>
      </c>
      <c r="J72" s="29" t="str">
        <f t="shared" si="12"/>
        <v>Savings</v>
      </c>
      <c r="K72" s="29" t="s">
        <v>69</v>
      </c>
      <c r="L72" s="29" t="str">
        <f t="shared" si="13"/>
        <v>Transfer</v>
      </c>
      <c r="M72" s="29" t="s">
        <v>83</v>
      </c>
      <c r="N72" s="29" t="str">
        <f t="shared" si="14"/>
        <v>Branch</v>
      </c>
      <c r="O72" s="29" t="s">
        <v>30</v>
      </c>
      <c r="P72" s="32">
        <v>108308.76</v>
      </c>
      <c r="Q72" s="32">
        <v>75.56</v>
      </c>
      <c r="R72" s="32" t="str">
        <f t="shared" si="15"/>
        <v>Completed</v>
      </c>
      <c r="S72" s="29" t="s">
        <v>45</v>
      </c>
      <c r="T72" s="29" t="s">
        <v>70</v>
      </c>
    </row>
    <row r="73" spans="1:20">
      <c r="A73" s="29" t="s">
        <v>144</v>
      </c>
      <c r="B73" s="33" t="str">
        <f t="shared" si="8"/>
        <v>01-25</v>
      </c>
      <c r="C73" s="30">
        <v>45678</v>
      </c>
      <c r="D73" s="31" t="str">
        <f t="shared" si="9"/>
        <v>Sukher</v>
      </c>
      <c r="E73" s="29" t="s">
        <v>408</v>
      </c>
      <c r="F73" s="29" t="str">
        <f t="shared" si="10"/>
        <v>Sukher</v>
      </c>
      <c r="G73" s="29" t="s">
        <v>408</v>
      </c>
      <c r="H73" s="29" t="str">
        <f t="shared" si="11"/>
        <v>Sme</v>
      </c>
      <c r="I73" s="29" t="s">
        <v>55</v>
      </c>
      <c r="J73" s="29" t="str">
        <f t="shared" si="12"/>
        <v>Savings</v>
      </c>
      <c r="K73" s="29" t="s">
        <v>69</v>
      </c>
      <c r="L73" s="29" t="str">
        <f t="shared" si="13"/>
        <v>Deposit</v>
      </c>
      <c r="M73" s="29" t="s">
        <v>43</v>
      </c>
      <c r="N73" s="29" t="str">
        <f t="shared" si="14"/>
        <v>Branch</v>
      </c>
      <c r="O73" s="29" t="s">
        <v>30</v>
      </c>
      <c r="P73" s="32">
        <v>111834.76</v>
      </c>
      <c r="Q73" s="32">
        <v>0</v>
      </c>
      <c r="R73" s="32" t="str">
        <f t="shared" si="15"/>
        <v>Completed</v>
      </c>
      <c r="S73" s="29" t="s">
        <v>45</v>
      </c>
      <c r="T73" s="29" t="s">
        <v>46</v>
      </c>
    </row>
    <row r="74" spans="1:20">
      <c r="A74" s="29" t="s">
        <v>145</v>
      </c>
      <c r="B74" s="33" t="str">
        <f t="shared" si="8"/>
        <v>12-26</v>
      </c>
      <c r="C74" s="30">
        <v>46381</v>
      </c>
      <c r="D74" s="31" t="str">
        <f t="shared" si="9"/>
        <v>Hyderabad</v>
      </c>
      <c r="E74" s="29" t="s">
        <v>63</v>
      </c>
      <c r="F74" s="29" t="str">
        <f t="shared" si="10"/>
        <v>Hyderabad</v>
      </c>
      <c r="G74" s="29" t="s">
        <v>63</v>
      </c>
      <c r="H74" s="29" t="str">
        <f t="shared" si="11"/>
        <v>Sme</v>
      </c>
      <c r="I74" s="29" t="s">
        <v>55</v>
      </c>
      <c r="J74" s="29" t="str">
        <f t="shared" si="12"/>
        <v>Current</v>
      </c>
      <c r="K74" s="29" t="s">
        <v>50</v>
      </c>
      <c r="L74" s="29" t="str">
        <f t="shared" si="13"/>
        <v>Withdrawal</v>
      </c>
      <c r="M74" s="29" t="s">
        <v>60</v>
      </c>
      <c r="N74" s="29" t="str">
        <f t="shared" si="14"/>
        <v>Internet Banking</v>
      </c>
      <c r="O74" s="29" t="s">
        <v>78</v>
      </c>
      <c r="P74" s="32">
        <v>13814.59</v>
      </c>
      <c r="Q74" s="32">
        <v>0</v>
      </c>
      <c r="R74" s="32" t="str">
        <f t="shared" si="15"/>
        <v>Completed</v>
      </c>
      <c r="S74" s="29" t="s">
        <v>45</v>
      </c>
      <c r="T74" s="29" t="s">
        <v>65</v>
      </c>
    </row>
    <row r="75" spans="1:20">
      <c r="A75" s="29" t="s">
        <v>146</v>
      </c>
      <c r="B75" s="33" t="str">
        <f t="shared" si="8"/>
        <v>06-25</v>
      </c>
      <c r="C75" s="30">
        <v>45824</v>
      </c>
      <c r="D75" s="31" t="str">
        <f t="shared" si="9"/>
        <v>Nawabshah</v>
      </c>
      <c r="E75" s="29" t="s">
        <v>67</v>
      </c>
      <c r="F75" s="29" t="str">
        <f t="shared" si="10"/>
        <v>Shaheed Benazirabad</v>
      </c>
      <c r="G75" s="29" t="s">
        <v>68</v>
      </c>
      <c r="H75" s="29" t="str">
        <f t="shared" si="11"/>
        <v>Premium</v>
      </c>
      <c r="I75" s="29" t="s">
        <v>49</v>
      </c>
      <c r="J75" s="29" t="str">
        <f t="shared" si="12"/>
        <v>Savings</v>
      </c>
      <c r="K75" s="29" t="s">
        <v>69</v>
      </c>
      <c r="L75" s="29" t="str">
        <f t="shared" si="13"/>
        <v>Bill Payment</v>
      </c>
      <c r="M75" s="29" t="s">
        <v>51</v>
      </c>
      <c r="N75" s="29" t="str">
        <f t="shared" si="14"/>
        <v>Mobile App</v>
      </c>
      <c r="O75" s="29" t="s">
        <v>61</v>
      </c>
      <c r="P75" s="32">
        <v>17565.72</v>
      </c>
      <c r="Q75" s="32">
        <v>38.39</v>
      </c>
      <c r="R75" s="32" t="str">
        <f t="shared" si="15"/>
        <v>Completed</v>
      </c>
      <c r="S75" s="29" t="s">
        <v>45</v>
      </c>
      <c r="T75" s="29" t="s">
        <v>65</v>
      </c>
    </row>
    <row r="76" spans="1:20">
      <c r="A76" s="29" t="s">
        <v>147</v>
      </c>
      <c r="B76" s="33" t="str">
        <f t="shared" si="8"/>
        <v>10-25</v>
      </c>
      <c r="C76" s="30">
        <v>45943</v>
      </c>
      <c r="D76" s="31" t="str">
        <f t="shared" si="9"/>
        <v>Larkana</v>
      </c>
      <c r="E76" s="29" t="s">
        <v>148</v>
      </c>
      <c r="F76" s="29" t="str">
        <f t="shared" si="10"/>
        <v>Larkana</v>
      </c>
      <c r="G76" s="29" t="s">
        <v>48</v>
      </c>
      <c r="H76" s="29" t="str">
        <f t="shared" si="11"/>
        <v>Retail</v>
      </c>
      <c r="I76" s="29" t="s">
        <v>77</v>
      </c>
      <c r="J76" s="29" t="str">
        <f t="shared" si="12"/>
        <v>Savings</v>
      </c>
      <c r="K76" s="29" t="s">
        <v>69</v>
      </c>
      <c r="L76" s="29" t="str">
        <f t="shared" si="13"/>
        <v>Withdrawal</v>
      </c>
      <c r="M76" s="29" t="s">
        <v>60</v>
      </c>
      <c r="N76" s="29" t="str">
        <f t="shared" si="14"/>
        <v>Internet Banking</v>
      </c>
      <c r="O76" s="29" t="s">
        <v>78</v>
      </c>
      <c r="P76" s="32">
        <v>25655.06</v>
      </c>
      <c r="Q76" s="32">
        <v>0</v>
      </c>
      <c r="R76" s="32" t="str">
        <f t="shared" si="15"/>
        <v>Completed</v>
      </c>
      <c r="S76" s="29" t="s">
        <v>45</v>
      </c>
      <c r="T76" s="29" t="s">
        <v>53</v>
      </c>
    </row>
    <row r="77" spans="1:20">
      <c r="A77" s="29" t="s">
        <v>149</v>
      </c>
      <c r="B77" s="33" t="str">
        <f t="shared" si="8"/>
        <v>01-26</v>
      </c>
      <c r="C77" s="30">
        <v>46043</v>
      </c>
      <c r="D77" s="31" t="str">
        <f t="shared" si="9"/>
        <v>Karachi Main</v>
      </c>
      <c r="E77" s="29" t="s">
        <v>73</v>
      </c>
      <c r="F77" s="29" t="str">
        <f t="shared" si="10"/>
        <v>Karachi</v>
      </c>
      <c r="G77" s="29" t="s">
        <v>74</v>
      </c>
      <c r="H77" s="29" t="str">
        <f t="shared" si="11"/>
        <v>Retail</v>
      </c>
      <c r="I77" s="29" t="s">
        <v>77</v>
      </c>
      <c r="J77" s="29" t="str">
        <f t="shared" si="12"/>
        <v>Savings</v>
      </c>
      <c r="K77" s="29" t="s">
        <v>69</v>
      </c>
      <c r="L77" s="29" t="str">
        <f t="shared" si="13"/>
        <v>Withdrawal</v>
      </c>
      <c r="M77" s="29" t="s">
        <v>60</v>
      </c>
      <c r="N77" s="29" t="str">
        <f t="shared" si="14"/>
        <v>Internet Banking</v>
      </c>
      <c r="O77" s="29" t="s">
        <v>78</v>
      </c>
      <c r="P77" s="32">
        <v>15476.54</v>
      </c>
      <c r="Q77" s="32">
        <v>0</v>
      </c>
      <c r="R77" s="32" t="str">
        <f t="shared" si="15"/>
        <v>Completed</v>
      </c>
      <c r="S77" s="29" t="s">
        <v>45</v>
      </c>
      <c r="T77" s="29" t="s">
        <v>53</v>
      </c>
    </row>
    <row r="78" spans="1:20">
      <c r="A78" s="29" t="s">
        <v>150</v>
      </c>
      <c r="B78" s="33" t="str">
        <f t="shared" si="8"/>
        <v>04-25</v>
      </c>
      <c r="C78" s="30">
        <v>45748</v>
      </c>
      <c r="D78" s="31" t="str">
        <f t="shared" si="9"/>
        <v>Karachi Main</v>
      </c>
      <c r="E78" s="29" t="s">
        <v>73</v>
      </c>
      <c r="F78" s="29" t="str">
        <f t="shared" si="10"/>
        <v>Karachi</v>
      </c>
      <c r="G78" s="29" t="s">
        <v>74</v>
      </c>
      <c r="H78" s="29" t="str">
        <f t="shared" si="11"/>
        <v>Retail</v>
      </c>
      <c r="I78" s="29" t="s">
        <v>77</v>
      </c>
      <c r="J78" s="29" t="str">
        <f t="shared" si="12"/>
        <v>Salary</v>
      </c>
      <c r="K78" s="29" t="s">
        <v>56</v>
      </c>
      <c r="L78" s="29" t="str">
        <f t="shared" si="13"/>
        <v>Transfer</v>
      </c>
      <c r="M78" s="29" t="s">
        <v>83</v>
      </c>
      <c r="N78" s="29" t="str">
        <f t="shared" si="14"/>
        <v>Branch</v>
      </c>
      <c r="O78" s="29" t="s">
        <v>30</v>
      </c>
      <c r="P78" s="32">
        <v>174940.26</v>
      </c>
      <c r="Q78" s="32">
        <v>30.04</v>
      </c>
      <c r="R78" s="32" t="str">
        <f t="shared" si="15"/>
        <v>Completed</v>
      </c>
      <c r="S78" s="29" t="s">
        <v>45</v>
      </c>
      <c r="T78" s="29" t="s">
        <v>65</v>
      </c>
    </row>
    <row r="79" spans="1:20">
      <c r="A79" s="29" t="s">
        <v>151</v>
      </c>
      <c r="B79" s="33" t="str">
        <f t="shared" si="8"/>
        <v>04-25</v>
      </c>
      <c r="C79" s="30">
        <v>45772</v>
      </c>
      <c r="D79" s="31" t="str">
        <f t="shared" si="9"/>
        <v>Sukher</v>
      </c>
      <c r="E79" s="29" t="s">
        <v>408</v>
      </c>
      <c r="F79" s="29" t="str">
        <f t="shared" si="10"/>
        <v>Sukher</v>
      </c>
      <c r="G79" s="29" t="s">
        <v>408</v>
      </c>
      <c r="H79" s="29" t="str">
        <f t="shared" si="11"/>
        <v>Premium</v>
      </c>
      <c r="I79" s="29" t="s">
        <v>49</v>
      </c>
      <c r="J79" s="29" t="str">
        <f t="shared" si="12"/>
        <v>Savings</v>
      </c>
      <c r="K79" s="29" t="s">
        <v>69</v>
      </c>
      <c r="L79" s="29" t="str">
        <f t="shared" si="13"/>
        <v>Withdrawal</v>
      </c>
      <c r="M79" s="29" t="s">
        <v>60</v>
      </c>
      <c r="N79" s="29" t="str">
        <f t="shared" si="14"/>
        <v>Internet Banking</v>
      </c>
      <c r="O79" s="29" t="s">
        <v>78</v>
      </c>
      <c r="P79" s="32">
        <v>44613.09</v>
      </c>
      <c r="Q79" s="32">
        <v>0</v>
      </c>
      <c r="R79" s="32" t="str">
        <f t="shared" si="15"/>
        <v>Completed</v>
      </c>
      <c r="S79" s="29" t="s">
        <v>45</v>
      </c>
      <c r="T79" s="29" t="s">
        <v>46</v>
      </c>
    </row>
    <row r="80" spans="1:20">
      <c r="A80" s="29" t="s">
        <v>152</v>
      </c>
      <c r="B80" s="33" t="str">
        <f t="shared" si="8"/>
        <v>10-26</v>
      </c>
      <c r="C80" s="30">
        <v>46314</v>
      </c>
      <c r="D80" s="31" t="str">
        <f t="shared" si="9"/>
        <v>Hyderabad</v>
      </c>
      <c r="E80" s="29" t="s">
        <v>63</v>
      </c>
      <c r="F80" s="29" t="str">
        <f t="shared" si="10"/>
        <v>Hyderabad</v>
      </c>
      <c r="G80" s="29" t="s">
        <v>63</v>
      </c>
      <c r="H80" s="29" t="str">
        <f t="shared" si="11"/>
        <v>Sme</v>
      </c>
      <c r="I80" s="29" t="s">
        <v>55</v>
      </c>
      <c r="J80" s="29" t="str">
        <f t="shared" si="12"/>
        <v>Current</v>
      </c>
      <c r="K80" s="29" t="s">
        <v>50</v>
      </c>
      <c r="L80" s="29" t="str">
        <f t="shared" si="13"/>
        <v>Transfer</v>
      </c>
      <c r="M80" s="29" t="s">
        <v>83</v>
      </c>
      <c r="N80" s="29" t="str">
        <f t="shared" si="14"/>
        <v>Atm</v>
      </c>
      <c r="O80" s="29" t="s">
        <v>52</v>
      </c>
      <c r="P80" s="32">
        <v>138676.51999999999</v>
      </c>
      <c r="Q80" s="32">
        <v>41.86</v>
      </c>
      <c r="R80" s="32" t="str">
        <f t="shared" si="15"/>
        <v>Completed</v>
      </c>
      <c r="S80" s="29" t="s">
        <v>45</v>
      </c>
      <c r="T80" s="29" t="s">
        <v>57</v>
      </c>
    </row>
    <row r="81" spans="1:20">
      <c r="A81" s="29" t="s">
        <v>153</v>
      </c>
      <c r="B81" s="33" t="str">
        <f t="shared" si="8"/>
        <v>02-25</v>
      </c>
      <c r="C81" s="30">
        <v>45691</v>
      </c>
      <c r="D81" s="31" t="str">
        <f t="shared" si="9"/>
        <v>Nawabshah</v>
      </c>
      <c r="E81" s="29" t="s">
        <v>67</v>
      </c>
      <c r="F81" s="29" t="str">
        <f t="shared" si="10"/>
        <v>Shaheed Benazirabad</v>
      </c>
      <c r="G81" s="29" t="s">
        <v>68</v>
      </c>
      <c r="H81" s="29" t="str">
        <f t="shared" si="11"/>
        <v>Sme</v>
      </c>
      <c r="I81" s="29" t="s">
        <v>55</v>
      </c>
      <c r="J81" s="29" t="str">
        <f t="shared" si="12"/>
        <v>Savings</v>
      </c>
      <c r="K81" s="29" t="s">
        <v>69</v>
      </c>
      <c r="L81" s="29" t="str">
        <f t="shared" si="13"/>
        <v>Bill Payment</v>
      </c>
      <c r="M81" s="29" t="s">
        <v>51</v>
      </c>
      <c r="N81" s="29" t="str">
        <f t="shared" si="14"/>
        <v>Internet Banking</v>
      </c>
      <c r="O81" s="29" t="s">
        <v>78</v>
      </c>
      <c r="P81" s="32">
        <v>4780.87</v>
      </c>
      <c r="Q81" s="32">
        <v>15.44</v>
      </c>
      <c r="R81" s="32" t="str">
        <f t="shared" si="15"/>
        <v>Completed</v>
      </c>
      <c r="S81" s="29" t="s">
        <v>45</v>
      </c>
      <c r="T81" s="29" t="s">
        <v>46</v>
      </c>
    </row>
    <row r="82" spans="1:20">
      <c r="A82" s="29" t="s">
        <v>155</v>
      </c>
      <c r="B82" s="33" t="str">
        <f t="shared" si="8"/>
        <v>05-25</v>
      </c>
      <c r="C82" s="30">
        <v>45784</v>
      </c>
      <c r="D82" s="31" t="str">
        <f t="shared" si="9"/>
        <v>Larkana</v>
      </c>
      <c r="E82" s="29" t="s">
        <v>48</v>
      </c>
      <c r="F82" s="29" t="str">
        <f t="shared" si="10"/>
        <v>Larkana</v>
      </c>
      <c r="G82" s="29" t="s">
        <v>48</v>
      </c>
      <c r="H82" s="29" t="str">
        <f t="shared" si="11"/>
        <v>Retail</v>
      </c>
      <c r="I82" s="29" t="s">
        <v>77</v>
      </c>
      <c r="J82" s="29" t="str">
        <f t="shared" si="12"/>
        <v>Salary</v>
      </c>
      <c r="K82" s="29" t="s">
        <v>56</v>
      </c>
      <c r="L82" s="29" t="str">
        <f t="shared" si="13"/>
        <v>Withdrawal</v>
      </c>
      <c r="M82" s="29" t="s">
        <v>60</v>
      </c>
      <c r="N82" s="29" t="str">
        <f t="shared" si="14"/>
        <v>Internet Banking</v>
      </c>
      <c r="O82" s="29" t="s">
        <v>78</v>
      </c>
      <c r="P82" s="32">
        <v>42082.78</v>
      </c>
      <c r="Q82" s="32">
        <v>0</v>
      </c>
      <c r="R82" s="32" t="str">
        <f t="shared" si="15"/>
        <v>Completed</v>
      </c>
      <c r="S82" s="29" t="s">
        <v>45</v>
      </c>
      <c r="T82" s="29" t="s">
        <v>70</v>
      </c>
    </row>
    <row r="83" spans="1:20">
      <c r="A83" s="29" t="s">
        <v>156</v>
      </c>
      <c r="B83" s="33" t="str">
        <f t="shared" si="8"/>
        <v>08-26</v>
      </c>
      <c r="C83" s="30">
        <v>46246</v>
      </c>
      <c r="D83" s="31" t="str">
        <f t="shared" si="9"/>
        <v>Nawabshah</v>
      </c>
      <c r="E83" s="29" t="s">
        <v>67</v>
      </c>
      <c r="F83" s="29" t="str">
        <f t="shared" si="10"/>
        <v>Shaheed Benazirabad</v>
      </c>
      <c r="G83" s="29" t="s">
        <v>68</v>
      </c>
      <c r="H83" s="29" t="str">
        <f t="shared" si="11"/>
        <v>Sme</v>
      </c>
      <c r="I83" s="29" t="s">
        <v>55</v>
      </c>
      <c r="J83" s="29" t="str">
        <f t="shared" si="12"/>
        <v>Salary</v>
      </c>
      <c r="K83" s="29" t="s">
        <v>56</v>
      </c>
      <c r="L83" s="29" t="str">
        <f t="shared" si="13"/>
        <v>Transfer</v>
      </c>
      <c r="M83" s="29" t="s">
        <v>83</v>
      </c>
      <c r="N83" s="29" t="str">
        <f t="shared" si="14"/>
        <v>Internet Banking</v>
      </c>
      <c r="O83" s="29" t="s">
        <v>78</v>
      </c>
      <c r="P83" s="32">
        <v>107737.95</v>
      </c>
      <c r="Q83" s="32">
        <v>63.37</v>
      </c>
      <c r="R83" s="32" t="str">
        <f t="shared" si="15"/>
        <v>Completed</v>
      </c>
      <c r="S83" s="29" t="s">
        <v>45</v>
      </c>
      <c r="T83" s="29" t="s">
        <v>46</v>
      </c>
    </row>
    <row r="84" spans="1:20">
      <c r="A84" s="29" t="s">
        <v>157</v>
      </c>
      <c r="B84" s="33" t="str">
        <f t="shared" si="8"/>
        <v>09-25</v>
      </c>
      <c r="C84" s="30">
        <v>45924</v>
      </c>
      <c r="D84" s="31" t="str">
        <f t="shared" si="9"/>
        <v>Hyderabad</v>
      </c>
      <c r="E84" s="29" t="s">
        <v>63</v>
      </c>
      <c r="F84" s="29" t="str">
        <f t="shared" si="10"/>
        <v>Hyderabad</v>
      </c>
      <c r="G84" s="29" t="s">
        <v>63</v>
      </c>
      <c r="H84" s="29" t="str">
        <f t="shared" si="11"/>
        <v>Retail</v>
      </c>
      <c r="I84" s="29" t="s">
        <v>77</v>
      </c>
      <c r="J84" s="29" t="str">
        <f t="shared" si="12"/>
        <v>Salary</v>
      </c>
      <c r="K84" s="29" t="s">
        <v>56</v>
      </c>
      <c r="L84" s="29" t="str">
        <f t="shared" si="13"/>
        <v>Bill Payment</v>
      </c>
      <c r="M84" s="29" t="s">
        <v>51</v>
      </c>
      <c r="N84" s="29" t="str">
        <f t="shared" si="14"/>
        <v>Branch</v>
      </c>
      <c r="O84" s="29" t="s">
        <v>30</v>
      </c>
      <c r="P84" s="32">
        <v>2430.46</v>
      </c>
      <c r="Q84" s="32">
        <v>26.19</v>
      </c>
      <c r="R84" s="32" t="str">
        <f t="shared" si="15"/>
        <v>Completed</v>
      </c>
      <c r="S84" s="29" t="s">
        <v>45</v>
      </c>
      <c r="T84" s="29" t="s">
        <v>75</v>
      </c>
    </row>
    <row r="85" spans="1:20">
      <c r="A85" s="29" t="s">
        <v>158</v>
      </c>
      <c r="B85" s="33" t="str">
        <f t="shared" si="8"/>
        <v>07-25</v>
      </c>
      <c r="C85" s="30">
        <v>45865</v>
      </c>
      <c r="D85" s="31" t="str">
        <f t="shared" si="9"/>
        <v>Karachi Main</v>
      </c>
      <c r="E85" s="29" t="s">
        <v>73</v>
      </c>
      <c r="F85" s="29" t="str">
        <f t="shared" si="10"/>
        <v>Karachi</v>
      </c>
      <c r="G85" s="29" t="s">
        <v>74</v>
      </c>
      <c r="H85" s="29" t="str">
        <f t="shared" si="11"/>
        <v>Corporate</v>
      </c>
      <c r="I85" s="29" t="s">
        <v>64</v>
      </c>
      <c r="J85" s="29" t="str">
        <f t="shared" si="12"/>
        <v>Savings</v>
      </c>
      <c r="K85" s="29" t="s">
        <v>69</v>
      </c>
      <c r="L85" s="29" t="str">
        <f t="shared" si="13"/>
        <v>Withdrawal</v>
      </c>
      <c r="M85" s="29" t="s">
        <v>60</v>
      </c>
      <c r="N85" s="29" t="str">
        <f t="shared" si="14"/>
        <v>Branch</v>
      </c>
      <c r="O85" s="29" t="s">
        <v>30</v>
      </c>
      <c r="P85" s="32">
        <v>67805.19</v>
      </c>
      <c r="Q85" s="32">
        <v>0</v>
      </c>
      <c r="R85" s="32" t="str">
        <f t="shared" si="15"/>
        <v>Completed</v>
      </c>
      <c r="S85" s="29" t="s">
        <v>45</v>
      </c>
      <c r="T85" s="29" t="s">
        <v>57</v>
      </c>
    </row>
    <row r="86" spans="1:20">
      <c r="A86" s="29" t="s">
        <v>159</v>
      </c>
      <c r="B86" s="33" t="str">
        <f t="shared" si="8"/>
        <v>03-26</v>
      </c>
      <c r="C86" s="30">
        <v>46099</v>
      </c>
      <c r="D86" s="31" t="str">
        <f t="shared" si="9"/>
        <v>Larkana</v>
      </c>
      <c r="E86" s="29" t="s">
        <v>48</v>
      </c>
      <c r="F86" s="29" t="str">
        <f t="shared" si="10"/>
        <v>Larkana</v>
      </c>
      <c r="G86" s="29" t="s">
        <v>48</v>
      </c>
      <c r="H86" s="29" t="str">
        <f t="shared" si="11"/>
        <v>Corporate</v>
      </c>
      <c r="I86" s="29" t="s">
        <v>64</v>
      </c>
      <c r="J86" s="29" t="str">
        <f t="shared" si="12"/>
        <v>Salary</v>
      </c>
      <c r="K86" s="29" t="s">
        <v>56</v>
      </c>
      <c r="L86" s="29" t="str">
        <f t="shared" si="13"/>
        <v>Transfer</v>
      </c>
      <c r="M86" s="29" t="s">
        <v>83</v>
      </c>
      <c r="N86" s="29" t="str">
        <f t="shared" si="14"/>
        <v>Mobile App</v>
      </c>
      <c r="O86" s="29" t="s">
        <v>61</v>
      </c>
      <c r="P86" s="32">
        <v>5318.96</v>
      </c>
      <c r="Q86" s="32">
        <v>74.599999999999994</v>
      </c>
      <c r="R86" s="32" t="str">
        <f t="shared" si="15"/>
        <v>Completed</v>
      </c>
      <c r="S86" s="29" t="s">
        <v>45</v>
      </c>
      <c r="T86" s="29" t="s">
        <v>75</v>
      </c>
    </row>
    <row r="87" spans="1:20">
      <c r="A87" s="29" t="s">
        <v>160</v>
      </c>
      <c r="B87" s="33" t="str">
        <f t="shared" si="8"/>
        <v>05-25</v>
      </c>
      <c r="C87" s="30">
        <v>45782</v>
      </c>
      <c r="D87" s="31" t="str">
        <f t="shared" si="9"/>
        <v>Nawabshah</v>
      </c>
      <c r="E87" s="29" t="s">
        <v>67</v>
      </c>
      <c r="F87" s="29" t="str">
        <f t="shared" si="10"/>
        <v>Shaheed Benazirabad</v>
      </c>
      <c r="G87" s="29" t="s">
        <v>68</v>
      </c>
      <c r="H87" s="29" t="str">
        <f t="shared" si="11"/>
        <v>Retail</v>
      </c>
      <c r="I87" s="29" t="s">
        <v>77</v>
      </c>
      <c r="J87" s="29" t="str">
        <f t="shared" si="12"/>
        <v>Savings</v>
      </c>
      <c r="K87" s="29" t="s">
        <v>69</v>
      </c>
      <c r="L87" s="29" t="str">
        <f t="shared" si="13"/>
        <v>Deposit</v>
      </c>
      <c r="M87" s="29" t="s">
        <v>43</v>
      </c>
      <c r="N87" s="29" t="str">
        <f t="shared" si="14"/>
        <v>Atm</v>
      </c>
      <c r="O87" s="29" t="s">
        <v>52</v>
      </c>
      <c r="P87" s="32">
        <v>16532.05</v>
      </c>
      <c r="Q87" s="32">
        <v>0</v>
      </c>
      <c r="R87" s="32" t="str">
        <f t="shared" si="15"/>
        <v>Completed</v>
      </c>
      <c r="S87" s="29" t="s">
        <v>45</v>
      </c>
      <c r="T87" s="29" t="s">
        <v>46</v>
      </c>
    </row>
    <row r="88" spans="1:20">
      <c r="A88" s="29" t="s">
        <v>161</v>
      </c>
      <c r="B88" s="33" t="str">
        <f t="shared" si="8"/>
        <v>10-25</v>
      </c>
      <c r="C88" s="30">
        <v>45955</v>
      </c>
      <c r="D88" s="31" t="str">
        <f t="shared" si="9"/>
        <v>Nawabshah</v>
      </c>
      <c r="E88" s="29" t="s">
        <v>67</v>
      </c>
      <c r="F88" s="29" t="str">
        <f t="shared" si="10"/>
        <v>Shaheed Benazirabad</v>
      </c>
      <c r="G88" s="29" t="s">
        <v>68</v>
      </c>
      <c r="H88" s="29" t="str">
        <f t="shared" si="11"/>
        <v>Sme</v>
      </c>
      <c r="I88" s="29" t="s">
        <v>55</v>
      </c>
      <c r="J88" s="29" t="str">
        <f t="shared" si="12"/>
        <v>Salary</v>
      </c>
      <c r="K88" s="29" t="s">
        <v>56</v>
      </c>
      <c r="L88" s="29" t="str">
        <f t="shared" si="13"/>
        <v>Bill Payment</v>
      </c>
      <c r="M88" s="29" t="s">
        <v>51</v>
      </c>
      <c r="N88" s="29" t="str">
        <f t="shared" si="14"/>
        <v>Internet Banking</v>
      </c>
      <c r="O88" s="29" t="s">
        <v>78</v>
      </c>
      <c r="P88" s="32">
        <v>16816.5</v>
      </c>
      <c r="Q88" s="32">
        <v>81.99</v>
      </c>
      <c r="R88" s="32" t="str">
        <f t="shared" si="15"/>
        <v>Completed</v>
      </c>
      <c r="S88" s="29" t="s">
        <v>45</v>
      </c>
      <c r="T88" s="29" t="s">
        <v>75</v>
      </c>
    </row>
    <row r="89" spans="1:20">
      <c r="A89" s="29" t="s">
        <v>162</v>
      </c>
      <c r="B89" s="33" t="str">
        <f t="shared" si="8"/>
        <v>03-26</v>
      </c>
      <c r="C89" s="30">
        <v>46104</v>
      </c>
      <c r="D89" s="31" t="str">
        <f t="shared" si="9"/>
        <v>Karachi Main</v>
      </c>
      <c r="E89" s="29" t="s">
        <v>73</v>
      </c>
      <c r="F89" s="29" t="str">
        <f t="shared" si="10"/>
        <v>Karachi</v>
      </c>
      <c r="G89" s="29" t="s">
        <v>74</v>
      </c>
      <c r="H89" s="29" t="str">
        <f t="shared" si="11"/>
        <v>Retail</v>
      </c>
      <c r="I89" s="29" t="s">
        <v>77</v>
      </c>
      <c r="J89" s="29" t="str">
        <f t="shared" si="12"/>
        <v>Current</v>
      </c>
      <c r="K89" s="29" t="s">
        <v>50</v>
      </c>
      <c r="L89" s="29" t="str">
        <f t="shared" si="13"/>
        <v>Transfer</v>
      </c>
      <c r="M89" s="29" t="s">
        <v>83</v>
      </c>
      <c r="N89" s="29" t="str">
        <f t="shared" si="14"/>
        <v>Mobile App</v>
      </c>
      <c r="O89" s="29" t="s">
        <v>61</v>
      </c>
      <c r="P89" s="32">
        <v>79269.17</v>
      </c>
      <c r="Q89" s="32">
        <v>137.56</v>
      </c>
      <c r="R89" s="32" t="str">
        <f t="shared" si="15"/>
        <v>Completed</v>
      </c>
      <c r="S89" s="29" t="s">
        <v>45</v>
      </c>
      <c r="T89" s="29" t="s">
        <v>46</v>
      </c>
    </row>
    <row r="90" spans="1:20">
      <c r="A90" s="29" t="s">
        <v>163</v>
      </c>
      <c r="B90" s="33" t="str">
        <f t="shared" si="8"/>
        <v>09-25</v>
      </c>
      <c r="C90" s="30">
        <v>45917</v>
      </c>
      <c r="D90" s="31" t="str">
        <f t="shared" si="9"/>
        <v>Karachi Main</v>
      </c>
      <c r="E90" s="29" t="s">
        <v>73</v>
      </c>
      <c r="F90" s="29" t="str">
        <f t="shared" si="10"/>
        <v>Karachi</v>
      </c>
      <c r="G90" s="29" t="s">
        <v>74</v>
      </c>
      <c r="H90" s="29" t="str">
        <f t="shared" si="11"/>
        <v>Retail</v>
      </c>
      <c r="I90" s="29" t="s">
        <v>77</v>
      </c>
      <c r="J90" s="29" t="str">
        <f t="shared" si="12"/>
        <v>Savings</v>
      </c>
      <c r="K90" s="29" t="s">
        <v>69</v>
      </c>
      <c r="L90" s="29" t="str">
        <f t="shared" si="13"/>
        <v>Bill Payment</v>
      </c>
      <c r="M90" s="29" t="s">
        <v>51</v>
      </c>
      <c r="N90" s="29" t="str">
        <f t="shared" si="14"/>
        <v>Branch</v>
      </c>
      <c r="O90" s="29" t="s">
        <v>30</v>
      </c>
      <c r="P90" s="32">
        <v>5908.11</v>
      </c>
      <c r="Q90" s="32">
        <v>84.68</v>
      </c>
      <c r="R90" s="32" t="str">
        <f t="shared" si="15"/>
        <v>Completed</v>
      </c>
      <c r="S90" s="29" t="s">
        <v>45</v>
      </c>
      <c r="T90" s="29" t="s">
        <v>70</v>
      </c>
    </row>
    <row r="91" spans="1:20">
      <c r="A91" s="29" t="s">
        <v>164</v>
      </c>
      <c r="B91" s="33" t="str">
        <f t="shared" si="8"/>
        <v>07-25</v>
      </c>
      <c r="C91" s="30">
        <v>45848</v>
      </c>
      <c r="D91" s="31" t="str">
        <f t="shared" si="9"/>
        <v>Larkana</v>
      </c>
      <c r="E91" s="29" t="s">
        <v>48</v>
      </c>
      <c r="F91" s="29" t="str">
        <f t="shared" si="10"/>
        <v>Larkana</v>
      </c>
      <c r="G91" s="29" t="s">
        <v>48</v>
      </c>
      <c r="H91" s="29" t="str">
        <f t="shared" si="11"/>
        <v>Premium</v>
      </c>
      <c r="I91" s="29" t="s">
        <v>49</v>
      </c>
      <c r="J91" s="29" t="str">
        <f t="shared" si="12"/>
        <v>Savings</v>
      </c>
      <c r="K91" s="29" t="s">
        <v>69</v>
      </c>
      <c r="L91" s="29" t="str">
        <f t="shared" si="13"/>
        <v>Deposit</v>
      </c>
      <c r="M91" s="29" t="s">
        <v>43</v>
      </c>
      <c r="N91" s="29" t="str">
        <f t="shared" si="14"/>
        <v>Mobile App</v>
      </c>
      <c r="O91" s="29" t="s">
        <v>61</v>
      </c>
      <c r="P91" s="32">
        <v>50044.92</v>
      </c>
      <c r="Q91" s="32">
        <v>0</v>
      </c>
      <c r="R91" s="32" t="str">
        <f t="shared" si="15"/>
        <v>Completed</v>
      </c>
      <c r="S91" s="29" t="s">
        <v>45</v>
      </c>
      <c r="T91" s="29" t="s">
        <v>65</v>
      </c>
    </row>
    <row r="92" spans="1:20">
      <c r="A92" s="29" t="s">
        <v>166</v>
      </c>
      <c r="B92" s="33" t="str">
        <f t="shared" si="8"/>
        <v>11-26</v>
      </c>
      <c r="C92" s="30">
        <v>46344</v>
      </c>
      <c r="D92" s="31" t="str">
        <f t="shared" si="9"/>
        <v>Larkana</v>
      </c>
      <c r="E92" s="29" t="s">
        <v>48</v>
      </c>
      <c r="F92" s="29" t="str">
        <f t="shared" si="10"/>
        <v>Larkana</v>
      </c>
      <c r="G92" s="29" t="s">
        <v>48</v>
      </c>
      <c r="H92" s="29" t="str">
        <f t="shared" si="11"/>
        <v>Corporate</v>
      </c>
      <c r="I92" s="29" t="s">
        <v>64</v>
      </c>
      <c r="J92" s="29" t="str">
        <f t="shared" si="12"/>
        <v>Salary</v>
      </c>
      <c r="K92" s="29" t="s">
        <v>56</v>
      </c>
      <c r="L92" s="29" t="str">
        <f t="shared" si="13"/>
        <v>Bill Payment</v>
      </c>
      <c r="M92" s="29" t="s">
        <v>51</v>
      </c>
      <c r="N92" s="29" t="str">
        <f t="shared" si="14"/>
        <v>Internet Banking</v>
      </c>
      <c r="O92" s="29" t="s">
        <v>78</v>
      </c>
      <c r="P92" s="32">
        <v>29047.15</v>
      </c>
      <c r="Q92" s="32">
        <v>38.83</v>
      </c>
      <c r="R92" s="32" t="str">
        <f t="shared" si="15"/>
        <v>Completed</v>
      </c>
      <c r="S92" s="29" t="s">
        <v>45</v>
      </c>
      <c r="T92" s="29" t="s">
        <v>70</v>
      </c>
    </row>
    <row r="93" spans="1:20">
      <c r="A93" s="29" t="s">
        <v>167</v>
      </c>
      <c r="B93" s="33" t="str">
        <f t="shared" si="8"/>
        <v>07-25</v>
      </c>
      <c r="C93" s="30">
        <v>45856</v>
      </c>
      <c r="D93" s="31" t="str">
        <f t="shared" si="9"/>
        <v>Larkana</v>
      </c>
      <c r="E93" s="29" t="s">
        <v>48</v>
      </c>
      <c r="F93" s="29" t="str">
        <f t="shared" si="10"/>
        <v>Larkana</v>
      </c>
      <c r="G93" s="29" t="s">
        <v>48</v>
      </c>
      <c r="H93" s="29" t="str">
        <f t="shared" si="11"/>
        <v>Corporate</v>
      </c>
      <c r="I93" s="29" t="s">
        <v>64</v>
      </c>
      <c r="J93" s="29" t="str">
        <f t="shared" si="12"/>
        <v>Salary</v>
      </c>
      <c r="K93" s="29" t="s">
        <v>56</v>
      </c>
      <c r="L93" s="29" t="str">
        <f t="shared" si="13"/>
        <v>Withdrawal</v>
      </c>
      <c r="M93" s="29" t="s">
        <v>60</v>
      </c>
      <c r="N93" s="29" t="str">
        <f t="shared" si="14"/>
        <v>Internet Banking</v>
      </c>
      <c r="O93" s="29" t="s">
        <v>78</v>
      </c>
      <c r="P93" s="32">
        <v>30242.3</v>
      </c>
      <c r="Q93" s="32">
        <v>0</v>
      </c>
      <c r="R93" s="32" t="str">
        <f t="shared" si="15"/>
        <v>Completed</v>
      </c>
      <c r="S93" s="29" t="s">
        <v>45</v>
      </c>
      <c r="T93" s="29" t="s">
        <v>70</v>
      </c>
    </row>
    <row r="94" spans="1:20">
      <c r="A94" s="29" t="s">
        <v>168</v>
      </c>
      <c r="B94" s="33" t="str">
        <f t="shared" si="8"/>
        <v>06-25</v>
      </c>
      <c r="C94" s="30">
        <v>45810</v>
      </c>
      <c r="D94" s="31" t="str">
        <f t="shared" si="9"/>
        <v>Nawabshah</v>
      </c>
      <c r="E94" s="29" t="s">
        <v>67</v>
      </c>
      <c r="F94" s="29" t="str">
        <f t="shared" si="10"/>
        <v>Shaheed Benazirabad</v>
      </c>
      <c r="G94" s="29" t="s">
        <v>68</v>
      </c>
      <c r="H94" s="29" t="str">
        <f t="shared" si="11"/>
        <v>Sme</v>
      </c>
      <c r="I94" s="29" t="s">
        <v>55</v>
      </c>
      <c r="J94" s="29" t="str">
        <f t="shared" si="12"/>
        <v>Savings</v>
      </c>
      <c r="K94" s="29" t="s">
        <v>69</v>
      </c>
      <c r="L94" s="29" t="str">
        <f t="shared" si="13"/>
        <v>Deposit</v>
      </c>
      <c r="M94" s="29" t="s">
        <v>43</v>
      </c>
      <c r="N94" s="29" t="str">
        <f t="shared" si="14"/>
        <v>Atm</v>
      </c>
      <c r="O94" s="29" t="s">
        <v>52</v>
      </c>
      <c r="P94" s="32">
        <v>82903.100000000006</v>
      </c>
      <c r="Q94" s="32">
        <v>0</v>
      </c>
      <c r="R94" s="32" t="str">
        <f t="shared" si="15"/>
        <v>Completed</v>
      </c>
      <c r="S94" s="29" t="s">
        <v>45</v>
      </c>
      <c r="T94" s="29" t="s">
        <v>53</v>
      </c>
    </row>
    <row r="95" spans="1:20">
      <c r="A95" s="29" t="s">
        <v>169</v>
      </c>
      <c r="B95" s="33" t="str">
        <f t="shared" si="8"/>
        <v>08-26</v>
      </c>
      <c r="C95" s="30">
        <v>46259</v>
      </c>
      <c r="D95" s="31" t="str">
        <f t="shared" si="9"/>
        <v>Larkana</v>
      </c>
      <c r="E95" s="29" t="s">
        <v>48</v>
      </c>
      <c r="F95" s="29" t="str">
        <f t="shared" si="10"/>
        <v>Larkana</v>
      </c>
      <c r="G95" s="29" t="s">
        <v>48</v>
      </c>
      <c r="H95" s="29" t="str">
        <f t="shared" si="11"/>
        <v>Retail</v>
      </c>
      <c r="I95" s="29" t="s">
        <v>77</v>
      </c>
      <c r="J95" s="29" t="str">
        <f t="shared" si="12"/>
        <v>Salary</v>
      </c>
      <c r="K95" s="29" t="s">
        <v>56</v>
      </c>
      <c r="L95" s="29" t="str">
        <f t="shared" si="13"/>
        <v>Withdrawal</v>
      </c>
      <c r="M95" s="29" t="s">
        <v>60</v>
      </c>
      <c r="N95" s="29" t="str">
        <f t="shared" si="14"/>
        <v>Atm</v>
      </c>
      <c r="O95" s="29" t="s">
        <v>52</v>
      </c>
      <c r="P95" s="32">
        <v>2835.52</v>
      </c>
      <c r="Q95" s="32">
        <v>0</v>
      </c>
      <c r="R95" s="32" t="str">
        <f t="shared" si="15"/>
        <v>Completed</v>
      </c>
      <c r="S95" s="29" t="s">
        <v>45</v>
      </c>
      <c r="T95" s="29" t="s">
        <v>57</v>
      </c>
    </row>
    <row r="96" spans="1:20">
      <c r="A96" s="29" t="s">
        <v>170</v>
      </c>
      <c r="B96" s="33" t="str">
        <f t="shared" si="8"/>
        <v>09-25</v>
      </c>
      <c r="C96" s="30">
        <v>45908</v>
      </c>
      <c r="D96" s="31" t="str">
        <f t="shared" si="9"/>
        <v>Karachi Main</v>
      </c>
      <c r="E96" s="29" t="s">
        <v>73</v>
      </c>
      <c r="F96" s="29" t="str">
        <f t="shared" si="10"/>
        <v>Karachi</v>
      </c>
      <c r="G96" s="29" t="s">
        <v>74</v>
      </c>
      <c r="H96" s="29" t="str">
        <f t="shared" si="11"/>
        <v>Premium</v>
      </c>
      <c r="I96" s="29" t="s">
        <v>171</v>
      </c>
      <c r="J96" s="29" t="str">
        <f t="shared" si="12"/>
        <v>Savings</v>
      </c>
      <c r="K96" s="29" t="s">
        <v>69</v>
      </c>
      <c r="L96" s="29" t="str">
        <f t="shared" si="13"/>
        <v>Withdrawal</v>
      </c>
      <c r="M96" s="29" t="s">
        <v>60</v>
      </c>
      <c r="N96" s="29" t="str">
        <f t="shared" si="14"/>
        <v>Atm</v>
      </c>
      <c r="O96" s="29" t="s">
        <v>52</v>
      </c>
      <c r="P96" s="32">
        <v>31213.89</v>
      </c>
      <c r="Q96" s="32">
        <v>0</v>
      </c>
      <c r="R96" s="32" t="str">
        <f t="shared" si="15"/>
        <v>Pending</v>
      </c>
      <c r="S96" s="29" t="s">
        <v>84</v>
      </c>
      <c r="T96" s="29" t="s">
        <v>70</v>
      </c>
    </row>
    <row r="97" spans="1:20">
      <c r="A97" s="29" t="s">
        <v>172</v>
      </c>
      <c r="B97" s="33" t="str">
        <f t="shared" si="8"/>
        <v>10-25</v>
      </c>
      <c r="C97" s="30">
        <v>45944</v>
      </c>
      <c r="D97" s="31" t="str">
        <f t="shared" si="9"/>
        <v>Nawabshah</v>
      </c>
      <c r="E97" s="29" t="s">
        <v>67</v>
      </c>
      <c r="F97" s="29" t="str">
        <f t="shared" si="10"/>
        <v>Shaheed Benazirabad</v>
      </c>
      <c r="G97" s="29" t="s">
        <v>68</v>
      </c>
      <c r="H97" s="29" t="str">
        <f t="shared" si="11"/>
        <v>Sme</v>
      </c>
      <c r="I97" s="29" t="s">
        <v>55</v>
      </c>
      <c r="J97" s="29" t="str">
        <f t="shared" si="12"/>
        <v>Current</v>
      </c>
      <c r="K97" s="29" t="s">
        <v>50</v>
      </c>
      <c r="L97" s="29" t="str">
        <f t="shared" si="13"/>
        <v>Bill Payment</v>
      </c>
      <c r="M97" s="29" t="s">
        <v>51</v>
      </c>
      <c r="N97" s="29" t="str">
        <f t="shared" si="14"/>
        <v>Branch</v>
      </c>
      <c r="O97" s="29" t="s">
        <v>30</v>
      </c>
      <c r="P97" s="32">
        <v>27406.6</v>
      </c>
      <c r="Q97" s="32">
        <v>65.59</v>
      </c>
      <c r="R97" s="32" t="str">
        <f t="shared" si="15"/>
        <v>Pending</v>
      </c>
      <c r="S97" s="29" t="s">
        <v>84</v>
      </c>
      <c r="T97" s="29" t="s">
        <v>70</v>
      </c>
    </row>
    <row r="98" spans="1:20">
      <c r="A98" s="29" t="s">
        <v>173</v>
      </c>
      <c r="B98" s="33" t="str">
        <f t="shared" si="8"/>
        <v>12-26</v>
      </c>
      <c r="C98" s="30">
        <v>46361</v>
      </c>
      <c r="D98" s="31" t="str">
        <f t="shared" si="9"/>
        <v>Larkana</v>
      </c>
      <c r="E98" s="29" t="s">
        <v>48</v>
      </c>
      <c r="F98" s="29" t="str">
        <f t="shared" si="10"/>
        <v>Larkana</v>
      </c>
      <c r="G98" s="29" t="s">
        <v>48</v>
      </c>
      <c r="H98" s="29" t="str">
        <f t="shared" si="11"/>
        <v>Corporate</v>
      </c>
      <c r="I98" s="29" t="s">
        <v>64</v>
      </c>
      <c r="J98" s="29" t="str">
        <f t="shared" si="12"/>
        <v>Salary</v>
      </c>
      <c r="K98" s="29" t="s">
        <v>56</v>
      </c>
      <c r="L98" s="29" t="str">
        <f t="shared" si="13"/>
        <v>Withdrawal</v>
      </c>
      <c r="M98" s="29" t="s">
        <v>60</v>
      </c>
      <c r="N98" s="29" t="str">
        <f t="shared" si="14"/>
        <v>Branch</v>
      </c>
      <c r="O98" s="29" t="s">
        <v>30</v>
      </c>
      <c r="P98" s="32">
        <v>13297.31</v>
      </c>
      <c r="Q98" s="32">
        <v>0</v>
      </c>
      <c r="R98" s="32" t="str">
        <f t="shared" si="15"/>
        <v>Completed</v>
      </c>
      <c r="S98" s="29" t="s">
        <v>45</v>
      </c>
      <c r="T98" s="29" t="s">
        <v>65</v>
      </c>
    </row>
    <row r="99" spans="1:20">
      <c r="A99" s="29" t="s">
        <v>174</v>
      </c>
      <c r="B99" s="33" t="str">
        <f t="shared" si="8"/>
        <v>08-25</v>
      </c>
      <c r="C99" s="30">
        <v>45895</v>
      </c>
      <c r="D99" s="31" t="str">
        <f t="shared" si="9"/>
        <v>Karachi Main</v>
      </c>
      <c r="E99" s="29" t="s">
        <v>73</v>
      </c>
      <c r="F99" s="29" t="str">
        <f t="shared" si="10"/>
        <v>Karachi</v>
      </c>
      <c r="G99" s="29" t="s">
        <v>74</v>
      </c>
      <c r="H99" s="29" t="str">
        <f t="shared" si="11"/>
        <v>Premium</v>
      </c>
      <c r="I99" s="29" t="s">
        <v>49</v>
      </c>
      <c r="J99" s="29" t="str">
        <f t="shared" si="12"/>
        <v>Salary</v>
      </c>
      <c r="K99" s="29" t="s">
        <v>56</v>
      </c>
      <c r="L99" s="29" t="str">
        <f t="shared" si="13"/>
        <v>Deposit</v>
      </c>
      <c r="M99" s="29" t="s">
        <v>43</v>
      </c>
      <c r="N99" s="29" t="str">
        <f t="shared" si="14"/>
        <v>Internet Banking</v>
      </c>
      <c r="O99" s="29" t="s">
        <v>78</v>
      </c>
      <c r="P99" s="32">
        <v>28728.02</v>
      </c>
      <c r="Q99" s="32">
        <v>0</v>
      </c>
      <c r="R99" s="32" t="str">
        <f t="shared" si="15"/>
        <v>Completed</v>
      </c>
      <c r="S99" s="29" t="s">
        <v>45</v>
      </c>
      <c r="T99" s="29" t="s">
        <v>75</v>
      </c>
    </row>
    <row r="100" spans="1:20">
      <c r="A100" s="29" t="s">
        <v>175</v>
      </c>
      <c r="B100" s="33" t="str">
        <f t="shared" si="8"/>
        <v>12-25</v>
      </c>
      <c r="C100" s="30">
        <v>46000</v>
      </c>
      <c r="D100" s="31" t="str">
        <f t="shared" si="9"/>
        <v>Larkana</v>
      </c>
      <c r="E100" s="29" t="s">
        <v>48</v>
      </c>
      <c r="F100" s="29" t="str">
        <f t="shared" si="10"/>
        <v>Larkana</v>
      </c>
      <c r="G100" s="29" t="s">
        <v>48</v>
      </c>
      <c r="H100" s="29" t="str">
        <f t="shared" si="11"/>
        <v>Premium</v>
      </c>
      <c r="I100" s="29" t="s">
        <v>49</v>
      </c>
      <c r="J100" s="29" t="str">
        <f t="shared" si="12"/>
        <v>Salary</v>
      </c>
      <c r="K100" s="29" t="s">
        <v>56</v>
      </c>
      <c r="L100" s="29" t="str">
        <f t="shared" si="13"/>
        <v>Withdrawal</v>
      </c>
      <c r="M100" s="29" t="s">
        <v>60</v>
      </c>
      <c r="N100" s="29" t="str">
        <f t="shared" si="14"/>
        <v>Mobile App</v>
      </c>
      <c r="O100" s="29" t="s">
        <v>61</v>
      </c>
      <c r="P100" s="32">
        <v>911.44</v>
      </c>
      <c r="Q100" s="32">
        <v>0</v>
      </c>
      <c r="R100" s="32" t="str">
        <f t="shared" si="15"/>
        <v>Completed</v>
      </c>
      <c r="S100" s="29" t="s">
        <v>45</v>
      </c>
      <c r="T100" s="29" t="s">
        <v>65</v>
      </c>
    </row>
    <row r="101" spans="1:20">
      <c r="A101" s="29" t="s">
        <v>176</v>
      </c>
      <c r="B101" s="33" t="str">
        <f t="shared" si="8"/>
        <v>08-26</v>
      </c>
      <c r="C101" s="30">
        <v>46249</v>
      </c>
      <c r="D101" s="31" t="str">
        <f t="shared" si="9"/>
        <v>Karachi Main</v>
      </c>
      <c r="E101" s="29" t="s">
        <v>73</v>
      </c>
      <c r="F101" s="29" t="str">
        <f t="shared" si="10"/>
        <v>Karachi</v>
      </c>
      <c r="G101" s="29" t="s">
        <v>74</v>
      </c>
      <c r="H101" s="29" t="str">
        <f t="shared" si="11"/>
        <v>Sme</v>
      </c>
      <c r="I101" s="29" t="s">
        <v>55</v>
      </c>
      <c r="J101" s="29" t="str">
        <f t="shared" si="12"/>
        <v>Salary</v>
      </c>
      <c r="K101" s="29" t="s">
        <v>56</v>
      </c>
      <c r="L101" s="29" t="str">
        <f t="shared" si="13"/>
        <v>Deposit</v>
      </c>
      <c r="M101" s="29" t="s">
        <v>43</v>
      </c>
      <c r="N101" s="29" t="str">
        <f t="shared" si="14"/>
        <v>Mobile App</v>
      </c>
      <c r="O101" s="29" t="s">
        <v>61</v>
      </c>
      <c r="P101" s="32">
        <v>26369.78</v>
      </c>
      <c r="Q101" s="32">
        <v>0</v>
      </c>
      <c r="R101" s="32" t="str">
        <f t="shared" si="15"/>
        <v>Completed</v>
      </c>
      <c r="S101" s="29" t="s">
        <v>45</v>
      </c>
      <c r="T101" s="29" t="s">
        <v>75</v>
      </c>
    </row>
    <row r="102" spans="1:20">
      <c r="A102" s="29" t="s">
        <v>177</v>
      </c>
      <c r="B102" s="33" t="str">
        <f t="shared" si="8"/>
        <v>08-25</v>
      </c>
      <c r="C102" s="30">
        <v>45894</v>
      </c>
      <c r="D102" s="31" t="str">
        <f t="shared" si="9"/>
        <v>Sukher</v>
      </c>
      <c r="E102" s="29" t="s">
        <v>408</v>
      </c>
      <c r="F102" s="29" t="str">
        <f t="shared" si="10"/>
        <v>Sukher</v>
      </c>
      <c r="G102" s="29" t="s">
        <v>408</v>
      </c>
      <c r="H102" s="29" t="str">
        <f t="shared" si="11"/>
        <v>Premium</v>
      </c>
      <c r="I102" s="29" t="s">
        <v>49</v>
      </c>
      <c r="J102" s="29" t="str">
        <f t="shared" si="12"/>
        <v>Current</v>
      </c>
      <c r="K102" s="29" t="s">
        <v>50</v>
      </c>
      <c r="L102" s="29" t="str">
        <f t="shared" si="13"/>
        <v>Bill Payment</v>
      </c>
      <c r="M102" s="29" t="s">
        <v>51</v>
      </c>
      <c r="N102" s="29" t="str">
        <f t="shared" si="14"/>
        <v>Atm</v>
      </c>
      <c r="O102" s="29" t="s">
        <v>52</v>
      </c>
      <c r="P102" s="32">
        <v>27035.02</v>
      </c>
      <c r="Q102" s="32">
        <v>75.41</v>
      </c>
      <c r="R102" s="32" t="str">
        <f t="shared" si="15"/>
        <v>Completed</v>
      </c>
      <c r="S102" s="29" t="s">
        <v>45</v>
      </c>
      <c r="T102" s="29" t="s">
        <v>75</v>
      </c>
    </row>
    <row r="103" spans="1:20">
      <c r="A103" s="29" t="s">
        <v>178</v>
      </c>
      <c r="B103" s="33" t="str">
        <f t="shared" si="8"/>
        <v>11-25</v>
      </c>
      <c r="C103" s="30">
        <v>45971</v>
      </c>
      <c r="D103" s="31" t="str">
        <f t="shared" si="9"/>
        <v>Sukher</v>
      </c>
      <c r="E103" s="29" t="s">
        <v>408</v>
      </c>
      <c r="F103" s="29" t="str">
        <f t="shared" si="10"/>
        <v>Sukher</v>
      </c>
      <c r="G103" s="29" t="s">
        <v>408</v>
      </c>
      <c r="H103" s="29" t="str">
        <f t="shared" si="11"/>
        <v>Corporate</v>
      </c>
      <c r="I103" s="29" t="s">
        <v>64</v>
      </c>
      <c r="J103" s="29" t="str">
        <f t="shared" si="12"/>
        <v>Salary</v>
      </c>
      <c r="K103" s="29" t="s">
        <v>56</v>
      </c>
      <c r="L103" s="29" t="str">
        <f t="shared" si="13"/>
        <v>Transfer</v>
      </c>
      <c r="M103" s="29" t="s">
        <v>83</v>
      </c>
      <c r="N103" s="29" t="str">
        <f t="shared" si="14"/>
        <v>Branch</v>
      </c>
      <c r="O103" s="29" t="s">
        <v>30</v>
      </c>
      <c r="P103" s="32">
        <v>126834.53</v>
      </c>
      <c r="Q103" s="32">
        <v>90.94</v>
      </c>
      <c r="R103" s="32" t="str">
        <f t="shared" si="15"/>
        <v>Completed</v>
      </c>
      <c r="S103" s="29" t="s">
        <v>45</v>
      </c>
      <c r="T103" s="29" t="s">
        <v>75</v>
      </c>
    </row>
    <row r="104" spans="1:20">
      <c r="A104" s="29" t="s">
        <v>179</v>
      </c>
      <c r="B104" s="33" t="str">
        <f t="shared" si="8"/>
        <v>10-26</v>
      </c>
      <c r="C104" s="30">
        <v>46301</v>
      </c>
      <c r="D104" s="31" t="str">
        <f t="shared" si="9"/>
        <v>Larkana</v>
      </c>
      <c r="E104" s="29" t="s">
        <v>48</v>
      </c>
      <c r="F104" s="29" t="str">
        <f t="shared" si="10"/>
        <v>Larkana</v>
      </c>
      <c r="G104" s="29" t="s">
        <v>48</v>
      </c>
      <c r="H104" s="29" t="str">
        <f t="shared" si="11"/>
        <v>Sme</v>
      </c>
      <c r="I104" s="29" t="s">
        <v>55</v>
      </c>
      <c r="J104" s="29" t="str">
        <f t="shared" si="12"/>
        <v>Current</v>
      </c>
      <c r="K104" s="29" t="s">
        <v>50</v>
      </c>
      <c r="L104" s="29" t="str">
        <f t="shared" si="13"/>
        <v>Deposit</v>
      </c>
      <c r="M104" s="29" t="s">
        <v>43</v>
      </c>
      <c r="N104" s="29" t="str">
        <f t="shared" si="14"/>
        <v>Internet Banking</v>
      </c>
      <c r="O104" s="29" t="s">
        <v>78</v>
      </c>
      <c r="P104" s="32">
        <v>72914.679999999993</v>
      </c>
      <c r="Q104" s="32">
        <v>0</v>
      </c>
      <c r="R104" s="32" t="str">
        <f t="shared" si="15"/>
        <v>Completed</v>
      </c>
      <c r="S104" s="29" t="s">
        <v>45</v>
      </c>
      <c r="T104" s="29" t="s">
        <v>75</v>
      </c>
    </row>
    <row r="105" spans="1:20">
      <c r="A105" s="29" t="s">
        <v>180</v>
      </c>
      <c r="B105" s="33" t="str">
        <f t="shared" si="8"/>
        <v>05-25</v>
      </c>
      <c r="C105" s="30">
        <v>45793</v>
      </c>
      <c r="D105" s="31" t="str">
        <f t="shared" si="9"/>
        <v>Sukher</v>
      </c>
      <c r="E105" s="29" t="s">
        <v>408</v>
      </c>
      <c r="F105" s="29" t="str">
        <f t="shared" si="10"/>
        <v>Sukher</v>
      </c>
      <c r="G105" s="29" t="s">
        <v>408</v>
      </c>
      <c r="H105" s="29" t="str">
        <f t="shared" si="11"/>
        <v>Corporate</v>
      </c>
      <c r="I105" s="29" t="s">
        <v>64</v>
      </c>
      <c r="J105" s="29" t="str">
        <f t="shared" si="12"/>
        <v>Savings</v>
      </c>
      <c r="K105" s="29" t="s">
        <v>69</v>
      </c>
      <c r="L105" s="29" t="str">
        <f t="shared" si="13"/>
        <v>Withdrawal</v>
      </c>
      <c r="M105" s="29" t="s">
        <v>60</v>
      </c>
      <c r="N105" s="29" t="str">
        <f t="shared" si="14"/>
        <v>Mobile App</v>
      </c>
      <c r="O105" s="29" t="s">
        <v>61</v>
      </c>
      <c r="P105" s="32">
        <v>33348.17</v>
      </c>
      <c r="Q105" s="32">
        <v>0</v>
      </c>
      <c r="R105" s="32" t="str">
        <f t="shared" si="15"/>
        <v>Completed</v>
      </c>
      <c r="S105" s="29" t="s">
        <v>45</v>
      </c>
      <c r="T105" s="29" t="s">
        <v>53</v>
      </c>
    </row>
    <row r="106" spans="1:20">
      <c r="A106" s="29" t="s">
        <v>181</v>
      </c>
      <c r="B106" s="33" t="str">
        <f t="shared" si="8"/>
        <v>01-25</v>
      </c>
      <c r="C106" s="30">
        <v>45674</v>
      </c>
      <c r="D106" s="31" t="str">
        <f t="shared" si="9"/>
        <v>Larkana</v>
      </c>
      <c r="E106" s="29" t="s">
        <v>48</v>
      </c>
      <c r="F106" s="29" t="str">
        <f t="shared" si="10"/>
        <v>Larkana</v>
      </c>
      <c r="G106" s="29" t="s">
        <v>48</v>
      </c>
      <c r="H106" s="29" t="str">
        <f t="shared" si="11"/>
        <v>Corporate</v>
      </c>
      <c r="I106" s="29" t="s">
        <v>64</v>
      </c>
      <c r="J106" s="29" t="str">
        <f t="shared" si="12"/>
        <v>Salary</v>
      </c>
      <c r="K106" s="29" t="s">
        <v>56</v>
      </c>
      <c r="L106" s="29" t="str">
        <f t="shared" si="13"/>
        <v>Deposit</v>
      </c>
      <c r="M106" s="29" t="s">
        <v>43</v>
      </c>
      <c r="N106" s="29" t="str">
        <f t="shared" si="14"/>
        <v>Mobile App</v>
      </c>
      <c r="O106" s="29" t="s">
        <v>61</v>
      </c>
      <c r="P106" s="32">
        <v>88857.93</v>
      </c>
      <c r="Q106" s="32">
        <v>0</v>
      </c>
      <c r="R106" s="32" t="str">
        <f t="shared" si="15"/>
        <v>Completed</v>
      </c>
      <c r="S106" s="29" t="s">
        <v>45</v>
      </c>
      <c r="T106" s="29" t="s">
        <v>46</v>
      </c>
    </row>
    <row r="107" spans="1:20">
      <c r="A107" s="29" t="s">
        <v>182</v>
      </c>
      <c r="B107" s="33" t="str">
        <f t="shared" si="8"/>
        <v>08-26</v>
      </c>
      <c r="C107" s="30">
        <v>46255</v>
      </c>
      <c r="D107" s="31" t="str">
        <f t="shared" si="9"/>
        <v>Nawabshah</v>
      </c>
      <c r="E107" s="29" t="s">
        <v>67</v>
      </c>
      <c r="F107" s="29" t="str">
        <f t="shared" si="10"/>
        <v>Shaheed Benazirabad</v>
      </c>
      <c r="G107" s="29" t="s">
        <v>68</v>
      </c>
      <c r="H107" s="29" t="str">
        <f t="shared" si="11"/>
        <v>Retail</v>
      </c>
      <c r="I107" s="29" t="s">
        <v>77</v>
      </c>
      <c r="J107" s="29" t="str">
        <f t="shared" si="12"/>
        <v>Savings</v>
      </c>
      <c r="K107" s="29" t="s">
        <v>69</v>
      </c>
      <c r="L107" s="29" t="str">
        <f t="shared" si="13"/>
        <v>Withdrawal</v>
      </c>
      <c r="M107" s="29" t="s">
        <v>60</v>
      </c>
      <c r="N107" s="29" t="str">
        <f t="shared" si="14"/>
        <v>Internet Banking</v>
      </c>
      <c r="O107" s="29" t="s">
        <v>78</v>
      </c>
      <c r="P107" s="32">
        <v>55352.93</v>
      </c>
      <c r="Q107" s="32">
        <v>0</v>
      </c>
      <c r="R107" s="32" t="str">
        <f t="shared" si="15"/>
        <v>Completed</v>
      </c>
      <c r="S107" s="29" t="s">
        <v>45</v>
      </c>
      <c r="T107" s="29" t="s">
        <v>65</v>
      </c>
    </row>
    <row r="108" spans="1:20">
      <c r="A108" s="29" t="s">
        <v>183</v>
      </c>
      <c r="B108" s="33" t="str">
        <f t="shared" si="8"/>
        <v>12-25</v>
      </c>
      <c r="C108" s="30">
        <v>46005</v>
      </c>
      <c r="D108" s="31" t="str">
        <f t="shared" si="9"/>
        <v>Karachi Main</v>
      </c>
      <c r="E108" s="29" t="s">
        <v>73</v>
      </c>
      <c r="F108" s="29" t="str">
        <f t="shared" si="10"/>
        <v>Karachi</v>
      </c>
      <c r="G108" s="29" t="s">
        <v>74</v>
      </c>
      <c r="H108" s="29" t="str">
        <f t="shared" si="11"/>
        <v>Retail</v>
      </c>
      <c r="I108" s="29" t="s">
        <v>77</v>
      </c>
      <c r="J108" s="29" t="str">
        <f t="shared" si="12"/>
        <v>Current</v>
      </c>
      <c r="K108" s="29" t="s">
        <v>50</v>
      </c>
      <c r="L108" s="29" t="str">
        <f t="shared" si="13"/>
        <v>Bill Payment</v>
      </c>
      <c r="M108" s="29" t="s">
        <v>51</v>
      </c>
      <c r="N108" s="29" t="str">
        <f t="shared" si="14"/>
        <v>Mobile App</v>
      </c>
      <c r="O108" s="29" t="s">
        <v>44</v>
      </c>
      <c r="P108" s="32">
        <v>4457.42</v>
      </c>
      <c r="Q108" s="32">
        <v>65.37</v>
      </c>
      <c r="R108" s="32" t="str">
        <f t="shared" si="15"/>
        <v>Completed</v>
      </c>
      <c r="S108" s="29" t="s">
        <v>45</v>
      </c>
      <c r="T108" s="29" t="s">
        <v>57</v>
      </c>
    </row>
    <row r="109" spans="1:20">
      <c r="A109" s="29" t="s">
        <v>184</v>
      </c>
      <c r="B109" s="33" t="str">
        <f t="shared" si="8"/>
        <v>03-25</v>
      </c>
      <c r="C109" s="30">
        <v>45726</v>
      </c>
      <c r="D109" s="31" t="str">
        <f t="shared" si="9"/>
        <v>Larkana</v>
      </c>
      <c r="E109" s="29" t="s">
        <v>48</v>
      </c>
      <c r="F109" s="29" t="str">
        <f t="shared" si="10"/>
        <v>Larkana</v>
      </c>
      <c r="G109" s="29" t="s">
        <v>48</v>
      </c>
      <c r="H109" s="29" t="str">
        <f t="shared" si="11"/>
        <v>Premium</v>
      </c>
      <c r="I109" s="29" t="s">
        <v>49</v>
      </c>
      <c r="J109" s="29" t="str">
        <f t="shared" si="12"/>
        <v>Current</v>
      </c>
      <c r="K109" s="29" t="s">
        <v>50</v>
      </c>
      <c r="L109" s="29" t="str">
        <f t="shared" si="13"/>
        <v>Deposit</v>
      </c>
      <c r="M109" s="29" t="s">
        <v>43</v>
      </c>
      <c r="N109" s="29" t="str">
        <f t="shared" si="14"/>
        <v>Internet Banking</v>
      </c>
      <c r="O109" s="29" t="s">
        <v>78</v>
      </c>
      <c r="P109" s="32">
        <v>38241.89</v>
      </c>
      <c r="Q109" s="32">
        <v>0</v>
      </c>
      <c r="R109" s="32" t="str">
        <f t="shared" si="15"/>
        <v>Completed</v>
      </c>
      <c r="S109" s="29" t="s">
        <v>45</v>
      </c>
      <c r="T109" s="29" t="s">
        <v>57</v>
      </c>
    </row>
    <row r="110" spans="1:20">
      <c r="A110" s="29" t="s">
        <v>185</v>
      </c>
      <c r="B110" s="33" t="str">
        <f t="shared" si="8"/>
        <v>08-26</v>
      </c>
      <c r="C110" s="30">
        <v>46250</v>
      </c>
      <c r="D110" s="31" t="str">
        <f t="shared" si="9"/>
        <v>Karachi Main</v>
      </c>
      <c r="E110" s="29" t="s">
        <v>73</v>
      </c>
      <c r="F110" s="29" t="str">
        <f t="shared" si="10"/>
        <v>Karachi</v>
      </c>
      <c r="G110" s="29" t="s">
        <v>74</v>
      </c>
      <c r="H110" s="29" t="str">
        <f t="shared" si="11"/>
        <v>Premium</v>
      </c>
      <c r="I110" s="29" t="s">
        <v>49</v>
      </c>
      <c r="J110" s="29" t="str">
        <f t="shared" si="12"/>
        <v>Current</v>
      </c>
      <c r="K110" s="29" t="s">
        <v>50</v>
      </c>
      <c r="L110" s="29" t="str">
        <f t="shared" si="13"/>
        <v>Deposit</v>
      </c>
      <c r="M110" s="29" t="s">
        <v>43</v>
      </c>
      <c r="N110" s="29" t="str">
        <f t="shared" si="14"/>
        <v>Atm</v>
      </c>
      <c r="O110" s="29" t="s">
        <v>52</v>
      </c>
      <c r="P110" s="32">
        <v>41010.78</v>
      </c>
      <c r="Q110" s="32">
        <v>0</v>
      </c>
      <c r="R110" s="32" t="str">
        <f t="shared" si="15"/>
        <v>Completed</v>
      </c>
      <c r="S110" s="29" t="s">
        <v>45</v>
      </c>
      <c r="T110" s="29" t="s">
        <v>70</v>
      </c>
    </row>
    <row r="111" spans="1:20">
      <c r="A111" s="29" t="s">
        <v>186</v>
      </c>
      <c r="B111" s="33" t="str">
        <f t="shared" si="8"/>
        <v>11-25</v>
      </c>
      <c r="C111" s="30">
        <v>45987</v>
      </c>
      <c r="D111" s="31" t="str">
        <f t="shared" si="9"/>
        <v>Nawabshah</v>
      </c>
      <c r="E111" s="29" t="s">
        <v>67</v>
      </c>
      <c r="F111" s="29" t="str">
        <f t="shared" si="10"/>
        <v>Shaheed Benazirabad</v>
      </c>
      <c r="G111" s="29" t="s">
        <v>68</v>
      </c>
      <c r="H111" s="29" t="str">
        <f t="shared" si="11"/>
        <v>Sme</v>
      </c>
      <c r="I111" s="29" t="s">
        <v>55</v>
      </c>
      <c r="J111" s="29" t="str">
        <f t="shared" si="12"/>
        <v>Current</v>
      </c>
      <c r="K111" s="29" t="s">
        <v>50</v>
      </c>
      <c r="L111" s="29" t="str">
        <f t="shared" si="13"/>
        <v>Bill Payment</v>
      </c>
      <c r="M111" s="29" t="s">
        <v>51</v>
      </c>
      <c r="N111" s="29" t="str">
        <f t="shared" si="14"/>
        <v>Atm</v>
      </c>
      <c r="O111" s="29" t="s">
        <v>52</v>
      </c>
      <c r="P111" s="32">
        <v>3220.48</v>
      </c>
      <c r="Q111" s="32">
        <v>41.3</v>
      </c>
      <c r="R111" s="32" t="str">
        <f t="shared" si="15"/>
        <v>Completed</v>
      </c>
      <c r="S111" s="29" t="s">
        <v>45</v>
      </c>
      <c r="T111" s="29" t="s">
        <v>65</v>
      </c>
    </row>
    <row r="112" spans="1:20">
      <c r="A112" s="29" t="s">
        <v>187</v>
      </c>
      <c r="B112" s="33" t="str">
        <f t="shared" si="8"/>
        <v>07-25</v>
      </c>
      <c r="C112" s="30">
        <v>45850</v>
      </c>
      <c r="D112" s="31" t="str">
        <f t="shared" si="9"/>
        <v>Nawabshah</v>
      </c>
      <c r="E112" s="29" t="s">
        <v>67</v>
      </c>
      <c r="F112" s="29" t="str">
        <f t="shared" si="10"/>
        <v>Shaheed Benazirabad</v>
      </c>
      <c r="G112" s="29" t="s">
        <v>68</v>
      </c>
      <c r="H112" s="29" t="str">
        <f t="shared" si="11"/>
        <v>Premium</v>
      </c>
      <c r="I112" s="29" t="s">
        <v>49</v>
      </c>
      <c r="J112" s="29" t="str">
        <f t="shared" si="12"/>
        <v>Current</v>
      </c>
      <c r="K112" s="29" t="s">
        <v>50</v>
      </c>
      <c r="L112" s="29" t="str">
        <f t="shared" si="13"/>
        <v>Withdrawal</v>
      </c>
      <c r="M112" s="29" t="s">
        <v>60</v>
      </c>
      <c r="N112" s="29" t="str">
        <f t="shared" si="14"/>
        <v>Atm</v>
      </c>
      <c r="O112" s="29" t="s">
        <v>52</v>
      </c>
      <c r="P112" s="32">
        <v>61747.81</v>
      </c>
      <c r="Q112" s="32">
        <v>0</v>
      </c>
      <c r="R112" s="32" t="str">
        <f t="shared" si="15"/>
        <v>Completed</v>
      </c>
      <c r="S112" s="29" t="s">
        <v>45</v>
      </c>
      <c r="T112" s="29" t="s">
        <v>46</v>
      </c>
    </row>
    <row r="113" spans="1:20">
      <c r="A113" s="29" t="s">
        <v>188</v>
      </c>
      <c r="B113" s="33" t="str">
        <f t="shared" si="8"/>
        <v>11-26</v>
      </c>
      <c r="C113" s="30">
        <v>46354</v>
      </c>
      <c r="D113" s="31" t="str">
        <f t="shared" si="9"/>
        <v>Larkana</v>
      </c>
      <c r="E113" s="29" t="s">
        <v>148</v>
      </c>
      <c r="F113" s="29" t="str">
        <f t="shared" si="10"/>
        <v>Larkana</v>
      </c>
      <c r="G113" s="29" t="s">
        <v>48</v>
      </c>
      <c r="H113" s="29" t="str">
        <f t="shared" si="11"/>
        <v>Retail</v>
      </c>
      <c r="I113" s="29" t="s">
        <v>77</v>
      </c>
      <c r="J113" s="29" t="str">
        <f t="shared" si="12"/>
        <v>Salary</v>
      </c>
      <c r="K113" s="29" t="s">
        <v>56</v>
      </c>
      <c r="L113" s="29" t="str">
        <f t="shared" si="13"/>
        <v>Deposit</v>
      </c>
      <c r="M113" s="29" t="s">
        <v>43</v>
      </c>
      <c r="N113" s="29" t="str">
        <f t="shared" si="14"/>
        <v>Branch</v>
      </c>
      <c r="O113" s="29" t="s">
        <v>30</v>
      </c>
      <c r="P113" s="32">
        <v>18615.73</v>
      </c>
      <c r="Q113" s="32">
        <v>0</v>
      </c>
      <c r="R113" s="32" t="str">
        <f t="shared" si="15"/>
        <v>Completed</v>
      </c>
      <c r="S113" s="29" t="s">
        <v>45</v>
      </c>
      <c r="T113" s="29" t="s">
        <v>46</v>
      </c>
    </row>
    <row r="114" spans="1:20">
      <c r="A114" s="29" t="s">
        <v>189</v>
      </c>
      <c r="B114" s="33" t="str">
        <f t="shared" si="8"/>
        <v>06-25</v>
      </c>
      <c r="C114" s="30">
        <v>45823</v>
      </c>
      <c r="D114" s="31" t="str">
        <f t="shared" si="9"/>
        <v>Karachi Main</v>
      </c>
      <c r="E114" s="29" t="s">
        <v>73</v>
      </c>
      <c r="F114" s="29" t="str">
        <f t="shared" si="10"/>
        <v>Karachi</v>
      </c>
      <c r="G114" s="29" t="s">
        <v>74</v>
      </c>
      <c r="H114" s="29" t="str">
        <f t="shared" si="11"/>
        <v>Retail</v>
      </c>
      <c r="I114" s="29" t="s">
        <v>77</v>
      </c>
      <c r="J114" s="29" t="str">
        <f t="shared" si="12"/>
        <v>Current</v>
      </c>
      <c r="K114" s="29" t="s">
        <v>50</v>
      </c>
      <c r="L114" s="29" t="str">
        <f t="shared" si="13"/>
        <v>Withdrawal</v>
      </c>
      <c r="M114" s="29" t="s">
        <v>60</v>
      </c>
      <c r="N114" s="29" t="str">
        <f t="shared" si="14"/>
        <v>Branch</v>
      </c>
      <c r="O114" s="29" t="s">
        <v>30</v>
      </c>
      <c r="P114" s="32">
        <v>40295.75</v>
      </c>
      <c r="Q114" s="32">
        <v>0</v>
      </c>
      <c r="R114" s="32" t="str">
        <f t="shared" si="15"/>
        <v>Completed</v>
      </c>
      <c r="S114" s="29" t="s">
        <v>45</v>
      </c>
      <c r="T114" s="29" t="s">
        <v>65</v>
      </c>
    </row>
    <row r="115" spans="1:20">
      <c r="A115" s="29" t="s">
        <v>190</v>
      </c>
      <c r="B115" s="33" t="str">
        <f t="shared" si="8"/>
        <v>06-25</v>
      </c>
      <c r="C115" s="30">
        <v>45815</v>
      </c>
      <c r="D115" s="31" t="str">
        <f t="shared" si="9"/>
        <v>Karachi Main</v>
      </c>
      <c r="E115" s="29" t="s">
        <v>73</v>
      </c>
      <c r="F115" s="29" t="str">
        <f t="shared" si="10"/>
        <v>Karachi</v>
      </c>
      <c r="G115" s="29" t="s">
        <v>74</v>
      </c>
      <c r="H115" s="29" t="str">
        <f t="shared" si="11"/>
        <v>Sme</v>
      </c>
      <c r="I115" s="29" t="s">
        <v>55</v>
      </c>
      <c r="J115" s="29" t="str">
        <f t="shared" si="12"/>
        <v>Savings</v>
      </c>
      <c r="K115" s="29" t="s">
        <v>69</v>
      </c>
      <c r="L115" s="29" t="str">
        <f t="shared" si="13"/>
        <v>Deposit</v>
      </c>
      <c r="M115" s="29" t="s">
        <v>43</v>
      </c>
      <c r="N115" s="29" t="str">
        <f t="shared" si="14"/>
        <v>Mobile App</v>
      </c>
      <c r="O115" s="29" t="s">
        <v>61</v>
      </c>
      <c r="P115" s="32">
        <v>103738.38</v>
      </c>
      <c r="Q115" s="32">
        <v>0</v>
      </c>
      <c r="R115" s="32" t="str">
        <f t="shared" si="15"/>
        <v>Completed</v>
      </c>
      <c r="S115" s="29" t="s">
        <v>45</v>
      </c>
      <c r="T115" s="29" t="s">
        <v>46</v>
      </c>
    </row>
    <row r="116" spans="1:20">
      <c r="A116" s="29" t="s">
        <v>191</v>
      </c>
      <c r="B116" s="33" t="str">
        <f t="shared" si="8"/>
        <v>09-26</v>
      </c>
      <c r="C116" s="30">
        <v>46288</v>
      </c>
      <c r="D116" s="31" t="str">
        <f t="shared" si="9"/>
        <v>Nawabshah</v>
      </c>
      <c r="E116" s="29" t="s">
        <v>67</v>
      </c>
      <c r="F116" s="29" t="str">
        <f t="shared" si="10"/>
        <v>Shaheed Benazirabad</v>
      </c>
      <c r="G116" s="29" t="s">
        <v>68</v>
      </c>
      <c r="H116" s="29" t="str">
        <f t="shared" si="11"/>
        <v>Premium</v>
      </c>
      <c r="I116" s="29" t="s">
        <v>49</v>
      </c>
      <c r="J116" s="29" t="str">
        <f t="shared" si="12"/>
        <v>Savings</v>
      </c>
      <c r="K116" s="29" t="s">
        <v>69</v>
      </c>
      <c r="L116" s="29" t="str">
        <f t="shared" si="13"/>
        <v>Deposit</v>
      </c>
      <c r="M116" s="29" t="s">
        <v>43</v>
      </c>
      <c r="N116" s="29" t="str">
        <f t="shared" si="14"/>
        <v>Branch</v>
      </c>
      <c r="O116" s="29" t="s">
        <v>30</v>
      </c>
      <c r="P116" s="32">
        <v>71252.66</v>
      </c>
      <c r="Q116" s="32">
        <v>0</v>
      </c>
      <c r="R116" s="32" t="str">
        <f t="shared" si="15"/>
        <v>Completed</v>
      </c>
      <c r="S116" s="29" t="s">
        <v>45</v>
      </c>
      <c r="T116" s="29" t="s">
        <v>65</v>
      </c>
    </row>
    <row r="117" spans="1:20">
      <c r="A117" s="29" t="s">
        <v>192</v>
      </c>
      <c r="B117" s="33" t="str">
        <f t="shared" si="8"/>
        <v>01-25</v>
      </c>
      <c r="C117" s="30">
        <v>45684</v>
      </c>
      <c r="D117" s="31" t="str">
        <f t="shared" si="9"/>
        <v>Hyderabad</v>
      </c>
      <c r="E117" s="29" t="s">
        <v>63</v>
      </c>
      <c r="F117" s="29" t="str">
        <f t="shared" si="10"/>
        <v>Hyderabad</v>
      </c>
      <c r="G117" s="29" t="s">
        <v>63</v>
      </c>
      <c r="H117" s="29" t="str">
        <f t="shared" si="11"/>
        <v>Corporate</v>
      </c>
      <c r="I117" s="29" t="s">
        <v>64</v>
      </c>
      <c r="J117" s="29" t="str">
        <f t="shared" si="12"/>
        <v>Salary</v>
      </c>
      <c r="K117" s="29" t="s">
        <v>56</v>
      </c>
      <c r="L117" s="29" t="str">
        <f t="shared" si="13"/>
        <v>Transfer</v>
      </c>
      <c r="M117" s="29" t="s">
        <v>83</v>
      </c>
      <c r="N117" s="29" t="str">
        <f t="shared" si="14"/>
        <v>Mobile App</v>
      </c>
      <c r="O117" s="29" t="s">
        <v>61</v>
      </c>
      <c r="P117" s="32">
        <v>151625.26</v>
      </c>
      <c r="Q117" s="32">
        <v>120.31</v>
      </c>
      <c r="R117" s="32" t="str">
        <f t="shared" si="15"/>
        <v>Completed</v>
      </c>
      <c r="S117" s="29" t="s">
        <v>45</v>
      </c>
      <c r="T117" s="29" t="s">
        <v>46</v>
      </c>
    </row>
    <row r="118" spans="1:20">
      <c r="A118" s="29" t="s">
        <v>193</v>
      </c>
      <c r="B118" s="33" t="str">
        <f t="shared" si="8"/>
        <v>03-25</v>
      </c>
      <c r="C118" s="30">
        <v>45719</v>
      </c>
      <c r="D118" s="31" t="str">
        <f t="shared" si="9"/>
        <v>Nawabshah</v>
      </c>
      <c r="E118" s="29" t="s">
        <v>67</v>
      </c>
      <c r="F118" s="29" t="str">
        <f t="shared" si="10"/>
        <v>Shaheed Benazirabad</v>
      </c>
      <c r="G118" s="29" t="s">
        <v>68</v>
      </c>
      <c r="H118" s="29" t="str">
        <f t="shared" si="11"/>
        <v>Sme</v>
      </c>
      <c r="I118" s="29" t="s">
        <v>55</v>
      </c>
      <c r="J118" s="29" t="str">
        <f t="shared" si="12"/>
        <v>Salary</v>
      </c>
      <c r="K118" s="29" t="s">
        <v>56</v>
      </c>
      <c r="L118" s="29" t="str">
        <f t="shared" si="13"/>
        <v>Deposit</v>
      </c>
      <c r="M118" s="29" t="s">
        <v>43</v>
      </c>
      <c r="N118" s="29" t="str">
        <f t="shared" si="14"/>
        <v>Internet Banking</v>
      </c>
      <c r="O118" s="29" t="s">
        <v>78</v>
      </c>
      <c r="P118" s="32">
        <v>107986.7</v>
      </c>
      <c r="Q118" s="32">
        <v>0</v>
      </c>
      <c r="R118" s="32" t="str">
        <f t="shared" si="15"/>
        <v>Completed</v>
      </c>
      <c r="S118" s="29" t="s">
        <v>45</v>
      </c>
      <c r="T118" s="29" t="s">
        <v>75</v>
      </c>
    </row>
    <row r="119" spans="1:20">
      <c r="A119" s="29" t="s">
        <v>194</v>
      </c>
      <c r="B119" s="33" t="str">
        <f t="shared" si="8"/>
        <v>01-26</v>
      </c>
      <c r="C119" s="30">
        <v>46025</v>
      </c>
      <c r="D119" s="31" t="str">
        <f t="shared" si="9"/>
        <v>Sukher</v>
      </c>
      <c r="E119" s="29" t="s">
        <v>408</v>
      </c>
      <c r="F119" s="29" t="str">
        <f t="shared" si="10"/>
        <v>Sukher</v>
      </c>
      <c r="G119" s="29" t="s">
        <v>408</v>
      </c>
      <c r="H119" s="29" t="str">
        <f t="shared" si="11"/>
        <v>Corporate</v>
      </c>
      <c r="I119" s="29" t="s">
        <v>64</v>
      </c>
      <c r="J119" s="29" t="str">
        <f t="shared" si="12"/>
        <v>Salary</v>
      </c>
      <c r="K119" s="29" t="s">
        <v>56</v>
      </c>
      <c r="L119" s="29" t="str">
        <f t="shared" si="13"/>
        <v>Deposit</v>
      </c>
      <c r="M119" s="29" t="s">
        <v>43</v>
      </c>
      <c r="N119" s="29" t="str">
        <f t="shared" si="14"/>
        <v>Internet Banking</v>
      </c>
      <c r="O119" s="29" t="s">
        <v>78</v>
      </c>
      <c r="P119" s="32">
        <v>47896.44</v>
      </c>
      <c r="Q119" s="32">
        <v>0</v>
      </c>
      <c r="R119" s="32" t="str">
        <f t="shared" si="15"/>
        <v>Completed</v>
      </c>
      <c r="S119" s="29" t="s">
        <v>45</v>
      </c>
      <c r="T119" s="29" t="s">
        <v>57</v>
      </c>
    </row>
    <row r="120" spans="1:20">
      <c r="A120" s="29" t="s">
        <v>195</v>
      </c>
      <c r="B120" s="33" t="str">
        <f t="shared" si="8"/>
        <v>05-25</v>
      </c>
      <c r="C120" s="30">
        <v>45792</v>
      </c>
      <c r="D120" s="31" t="str">
        <f t="shared" si="9"/>
        <v>Hyderabad</v>
      </c>
      <c r="E120" s="29" t="s">
        <v>63</v>
      </c>
      <c r="F120" s="29" t="str">
        <f t="shared" si="10"/>
        <v>Hyderabad</v>
      </c>
      <c r="G120" s="29" t="s">
        <v>63</v>
      </c>
      <c r="H120" s="29" t="str">
        <f t="shared" si="11"/>
        <v>Retail</v>
      </c>
      <c r="I120" s="29" t="s">
        <v>77</v>
      </c>
      <c r="J120" s="29" t="str">
        <f t="shared" si="12"/>
        <v>Salary</v>
      </c>
      <c r="K120" s="29" t="s">
        <v>56</v>
      </c>
      <c r="L120" s="29" t="str">
        <f t="shared" si="13"/>
        <v>Deposit</v>
      </c>
      <c r="M120" s="29" t="s">
        <v>43</v>
      </c>
      <c r="N120" s="29" t="str">
        <f t="shared" si="14"/>
        <v>Branch</v>
      </c>
      <c r="O120" s="29" t="s">
        <v>30</v>
      </c>
      <c r="P120" s="32">
        <v>19652.439999999999</v>
      </c>
      <c r="Q120" s="32">
        <v>0</v>
      </c>
      <c r="R120" s="32" t="str">
        <f t="shared" si="15"/>
        <v>Completed</v>
      </c>
      <c r="S120" s="29" t="s">
        <v>45</v>
      </c>
      <c r="T120" s="29" t="s">
        <v>65</v>
      </c>
    </row>
    <row r="121" spans="1:20">
      <c r="A121" s="29" t="s">
        <v>196</v>
      </c>
      <c r="B121" s="33" t="str">
        <f t="shared" si="8"/>
        <v>03-25</v>
      </c>
      <c r="C121" s="30">
        <v>45724</v>
      </c>
      <c r="D121" s="31" t="str">
        <f t="shared" si="9"/>
        <v>Nawabshah</v>
      </c>
      <c r="E121" s="29" t="s">
        <v>67</v>
      </c>
      <c r="F121" s="29" t="str">
        <f t="shared" si="10"/>
        <v>Shaheed Benazirabad</v>
      </c>
      <c r="G121" s="29" t="s">
        <v>68</v>
      </c>
      <c r="H121" s="29" t="str">
        <f t="shared" si="11"/>
        <v>Premium</v>
      </c>
      <c r="I121" s="29" t="s">
        <v>49</v>
      </c>
      <c r="J121" s="29" t="str">
        <f t="shared" si="12"/>
        <v>Savings</v>
      </c>
      <c r="K121" s="29" t="s">
        <v>69</v>
      </c>
      <c r="L121" s="29" t="str">
        <f t="shared" si="13"/>
        <v>Withdrawal</v>
      </c>
      <c r="M121" s="29" t="s">
        <v>60</v>
      </c>
      <c r="N121" s="29" t="str">
        <f t="shared" si="14"/>
        <v>Branch</v>
      </c>
      <c r="O121" s="29" t="s">
        <v>30</v>
      </c>
      <c r="P121" s="32">
        <v>18177.990000000002</v>
      </c>
      <c r="Q121" s="32">
        <v>0</v>
      </c>
      <c r="R121" s="32" t="str">
        <f t="shared" si="15"/>
        <v>Completed</v>
      </c>
      <c r="S121" s="29" t="s">
        <v>45</v>
      </c>
      <c r="T121" s="29" t="s">
        <v>75</v>
      </c>
    </row>
    <row r="122" spans="1:20">
      <c r="A122" s="29" t="s">
        <v>197</v>
      </c>
      <c r="B122" s="33" t="str">
        <f t="shared" si="8"/>
        <v>07-26</v>
      </c>
      <c r="C122" s="30">
        <v>46210</v>
      </c>
      <c r="D122" s="31" t="str">
        <f t="shared" si="9"/>
        <v>Karachi Main</v>
      </c>
      <c r="E122" s="29" t="s">
        <v>73</v>
      </c>
      <c r="F122" s="29" t="str">
        <f t="shared" si="10"/>
        <v>Karachi</v>
      </c>
      <c r="G122" s="29" t="s">
        <v>74</v>
      </c>
      <c r="H122" s="29" t="str">
        <f t="shared" si="11"/>
        <v>Corporate</v>
      </c>
      <c r="I122" s="29" t="s">
        <v>64</v>
      </c>
      <c r="J122" s="29" t="str">
        <f t="shared" si="12"/>
        <v>Current</v>
      </c>
      <c r="K122" s="29" t="s">
        <v>50</v>
      </c>
      <c r="L122" s="29" t="str">
        <f t="shared" si="13"/>
        <v>Withdrawal</v>
      </c>
      <c r="M122" s="29" t="s">
        <v>60</v>
      </c>
      <c r="N122" s="29" t="str">
        <f t="shared" si="14"/>
        <v>Branch</v>
      </c>
      <c r="O122" s="29" t="s">
        <v>30</v>
      </c>
      <c r="P122" s="32">
        <v>68364.740000000005</v>
      </c>
      <c r="Q122" s="32">
        <v>0</v>
      </c>
      <c r="R122" s="32" t="str">
        <f t="shared" si="15"/>
        <v>Completed</v>
      </c>
      <c r="S122" s="29" t="s">
        <v>45</v>
      </c>
      <c r="T122" s="29" t="s">
        <v>46</v>
      </c>
    </row>
    <row r="123" spans="1:20">
      <c r="A123" s="29" t="s">
        <v>198</v>
      </c>
      <c r="B123" s="33" t="str">
        <f t="shared" si="8"/>
        <v>09-25</v>
      </c>
      <c r="C123" s="30">
        <v>45925</v>
      </c>
      <c r="D123" s="31" t="str">
        <f t="shared" si="9"/>
        <v>Nawabshah</v>
      </c>
      <c r="E123" s="29" t="s">
        <v>67</v>
      </c>
      <c r="F123" s="29" t="str">
        <f t="shared" si="10"/>
        <v>Shaheed Benazirabad</v>
      </c>
      <c r="G123" s="29" t="s">
        <v>68</v>
      </c>
      <c r="H123" s="29" t="str">
        <f t="shared" si="11"/>
        <v>Retail</v>
      </c>
      <c r="I123" s="29" t="s">
        <v>77</v>
      </c>
      <c r="J123" s="29" t="str">
        <f t="shared" si="12"/>
        <v>Savings</v>
      </c>
      <c r="K123" s="29" t="s">
        <v>69</v>
      </c>
      <c r="L123" s="29" t="str">
        <f t="shared" si="13"/>
        <v>Bill Payment</v>
      </c>
      <c r="M123" s="29" t="s">
        <v>51</v>
      </c>
      <c r="N123" s="29" t="str">
        <f t="shared" si="14"/>
        <v>Branch</v>
      </c>
      <c r="O123" s="29" t="s">
        <v>30</v>
      </c>
      <c r="P123" s="32">
        <v>2694.27</v>
      </c>
      <c r="Q123" s="32">
        <v>69.52</v>
      </c>
      <c r="R123" s="32" t="str">
        <f t="shared" si="15"/>
        <v>Completed</v>
      </c>
      <c r="S123" s="29" t="s">
        <v>45</v>
      </c>
      <c r="T123" s="29" t="s">
        <v>75</v>
      </c>
    </row>
    <row r="124" spans="1:20">
      <c r="A124" s="29" t="s">
        <v>199</v>
      </c>
      <c r="B124" s="33" t="str">
        <f t="shared" si="8"/>
        <v>06-25</v>
      </c>
      <c r="C124" s="30">
        <v>45823</v>
      </c>
      <c r="D124" s="31" t="str">
        <f t="shared" si="9"/>
        <v>Sukher</v>
      </c>
      <c r="E124" s="29" t="s">
        <v>408</v>
      </c>
      <c r="F124" s="29" t="str">
        <f t="shared" si="10"/>
        <v>Sukher</v>
      </c>
      <c r="G124" s="29" t="s">
        <v>408</v>
      </c>
      <c r="H124" s="29" t="str">
        <f t="shared" si="11"/>
        <v>Sme</v>
      </c>
      <c r="I124" s="29" t="s">
        <v>55</v>
      </c>
      <c r="J124" s="29" t="str">
        <f t="shared" si="12"/>
        <v>Current</v>
      </c>
      <c r="K124" s="29" t="s">
        <v>50</v>
      </c>
      <c r="L124" s="29" t="str">
        <f t="shared" si="13"/>
        <v>Bill Payment</v>
      </c>
      <c r="M124" s="29" t="s">
        <v>51</v>
      </c>
      <c r="N124" s="29" t="str">
        <f t="shared" si="14"/>
        <v>Mobile App</v>
      </c>
      <c r="O124" s="29" t="s">
        <v>61</v>
      </c>
      <c r="P124" s="32">
        <v>28954.34</v>
      </c>
      <c r="Q124" s="32">
        <v>98.27</v>
      </c>
      <c r="R124" s="32" t="str">
        <f t="shared" si="15"/>
        <v>Completed</v>
      </c>
      <c r="S124" s="29" t="s">
        <v>45</v>
      </c>
      <c r="T124" s="29" t="s">
        <v>65</v>
      </c>
    </row>
    <row r="125" spans="1:20">
      <c r="A125" s="29" t="s">
        <v>200</v>
      </c>
      <c r="B125" s="33" t="str">
        <f t="shared" si="8"/>
        <v>09-26</v>
      </c>
      <c r="C125" s="30">
        <v>46274</v>
      </c>
      <c r="D125" s="31" t="str">
        <f t="shared" si="9"/>
        <v>Karachi Main</v>
      </c>
      <c r="E125" s="29" t="s">
        <v>73</v>
      </c>
      <c r="F125" s="29" t="str">
        <f t="shared" si="10"/>
        <v>Karachi</v>
      </c>
      <c r="G125" s="29" t="s">
        <v>74</v>
      </c>
      <c r="H125" s="29" t="str">
        <f t="shared" si="11"/>
        <v>Premium</v>
      </c>
      <c r="I125" s="29" t="s">
        <v>49</v>
      </c>
      <c r="J125" s="29" t="str">
        <f t="shared" si="12"/>
        <v>Salary</v>
      </c>
      <c r="K125" s="29" t="s">
        <v>56</v>
      </c>
      <c r="L125" s="29" t="str">
        <f t="shared" si="13"/>
        <v>Transfer</v>
      </c>
      <c r="M125" s="29" t="s">
        <v>83</v>
      </c>
      <c r="N125" s="29" t="str">
        <f t="shared" si="14"/>
        <v>Internet Banking</v>
      </c>
      <c r="O125" s="29" t="s">
        <v>78</v>
      </c>
      <c r="P125" s="32">
        <v>43334.879999999997</v>
      </c>
      <c r="Q125" s="32">
        <v>44.82</v>
      </c>
      <c r="R125" s="32" t="str">
        <f t="shared" si="15"/>
        <v>Completed</v>
      </c>
      <c r="S125" s="29" t="s">
        <v>45</v>
      </c>
      <c r="T125" s="29" t="s">
        <v>57</v>
      </c>
    </row>
    <row r="126" spans="1:20">
      <c r="A126" s="29" t="s">
        <v>201</v>
      </c>
      <c r="B126" s="33" t="str">
        <f t="shared" si="8"/>
        <v>06-25</v>
      </c>
      <c r="C126" s="30">
        <v>45819</v>
      </c>
      <c r="D126" s="31" t="str">
        <f t="shared" si="9"/>
        <v>Sukher</v>
      </c>
      <c r="E126" s="29" t="s">
        <v>408</v>
      </c>
      <c r="F126" s="29" t="str">
        <f t="shared" si="10"/>
        <v>Sukher</v>
      </c>
      <c r="G126" s="29" t="s">
        <v>408</v>
      </c>
      <c r="H126" s="29" t="str">
        <f t="shared" si="11"/>
        <v>Premium</v>
      </c>
      <c r="I126" s="29" t="s">
        <v>49</v>
      </c>
      <c r="J126" s="29" t="str">
        <f t="shared" si="12"/>
        <v>Savings</v>
      </c>
      <c r="K126" s="29" t="s">
        <v>69</v>
      </c>
      <c r="L126" s="29" t="str">
        <f t="shared" si="13"/>
        <v>Bill Payment</v>
      </c>
      <c r="M126" s="29" t="s">
        <v>51</v>
      </c>
      <c r="N126" s="29" t="str">
        <f t="shared" si="14"/>
        <v>Branch</v>
      </c>
      <c r="O126" s="29" t="s">
        <v>30</v>
      </c>
      <c r="P126" s="32">
        <v>2449.94</v>
      </c>
      <c r="Q126" s="32">
        <v>56.51</v>
      </c>
      <c r="R126" s="32" t="str">
        <f t="shared" si="15"/>
        <v>Completed</v>
      </c>
      <c r="S126" s="29" t="s">
        <v>45</v>
      </c>
      <c r="T126" s="29" t="s">
        <v>57</v>
      </c>
    </row>
    <row r="127" spans="1:20">
      <c r="A127" s="29" t="s">
        <v>202</v>
      </c>
      <c r="B127" s="33" t="str">
        <f t="shared" si="8"/>
        <v>09-25</v>
      </c>
      <c r="C127" s="30">
        <v>45903</v>
      </c>
      <c r="D127" s="31" t="str">
        <f t="shared" si="9"/>
        <v>Hyderabad</v>
      </c>
      <c r="E127" s="29" t="s">
        <v>63</v>
      </c>
      <c r="F127" s="29" t="str">
        <f t="shared" si="10"/>
        <v>Hyderabad</v>
      </c>
      <c r="G127" s="29" t="s">
        <v>63</v>
      </c>
      <c r="H127" s="29" t="str">
        <f t="shared" si="11"/>
        <v>Premium</v>
      </c>
      <c r="I127" s="29" t="s">
        <v>49</v>
      </c>
      <c r="J127" s="29" t="str">
        <f t="shared" si="12"/>
        <v>Current</v>
      </c>
      <c r="K127" s="29" t="s">
        <v>50</v>
      </c>
      <c r="L127" s="29" t="str">
        <f t="shared" si="13"/>
        <v>Withdrawal</v>
      </c>
      <c r="M127" s="29" t="s">
        <v>60</v>
      </c>
      <c r="N127" s="29" t="str">
        <f t="shared" si="14"/>
        <v>Branch</v>
      </c>
      <c r="O127" s="29" t="s">
        <v>30</v>
      </c>
      <c r="P127" s="32">
        <v>52758.02</v>
      </c>
      <c r="Q127" s="32">
        <v>0</v>
      </c>
      <c r="R127" s="32" t="str">
        <f t="shared" si="15"/>
        <v>Completed</v>
      </c>
      <c r="S127" s="29" t="s">
        <v>45</v>
      </c>
      <c r="T127" s="29" t="s">
        <v>75</v>
      </c>
    </row>
    <row r="128" spans="1:20">
      <c r="A128" s="29" t="s">
        <v>203</v>
      </c>
      <c r="B128" s="33" t="str">
        <f t="shared" si="8"/>
        <v>03-26</v>
      </c>
      <c r="C128" s="30">
        <v>46083</v>
      </c>
      <c r="D128" s="31" t="str">
        <f t="shared" si="9"/>
        <v>Hyderabad</v>
      </c>
      <c r="E128" s="29" t="s">
        <v>63</v>
      </c>
      <c r="F128" s="29" t="str">
        <f t="shared" si="10"/>
        <v>Hyderabad</v>
      </c>
      <c r="G128" s="29" t="s">
        <v>63</v>
      </c>
      <c r="H128" s="29" t="str">
        <f t="shared" si="11"/>
        <v>Corporate</v>
      </c>
      <c r="I128" s="29" t="s">
        <v>64</v>
      </c>
      <c r="J128" s="29" t="str">
        <f t="shared" si="12"/>
        <v>Salary</v>
      </c>
      <c r="K128" s="29" t="s">
        <v>56</v>
      </c>
      <c r="L128" s="29" t="str">
        <f t="shared" si="13"/>
        <v>Deposit</v>
      </c>
      <c r="M128" s="29" t="s">
        <v>43</v>
      </c>
      <c r="N128" s="29" t="str">
        <f t="shared" si="14"/>
        <v>Branch</v>
      </c>
      <c r="O128" s="29" t="s">
        <v>30</v>
      </c>
      <c r="P128" s="32">
        <v>64030.65</v>
      </c>
      <c r="Q128" s="32">
        <v>0</v>
      </c>
      <c r="R128" s="32" t="str">
        <f t="shared" si="15"/>
        <v>Completed</v>
      </c>
      <c r="S128" s="29" t="s">
        <v>45</v>
      </c>
      <c r="T128" s="29" t="s">
        <v>65</v>
      </c>
    </row>
    <row r="129" spans="1:20">
      <c r="A129" s="29" t="s">
        <v>204</v>
      </c>
      <c r="B129" s="33" t="str">
        <f t="shared" si="8"/>
        <v>01-25</v>
      </c>
      <c r="C129" s="30">
        <v>45667</v>
      </c>
      <c r="D129" s="31" t="str">
        <f t="shared" si="9"/>
        <v>Nawabshah</v>
      </c>
      <c r="E129" s="29" t="s">
        <v>67</v>
      </c>
      <c r="F129" s="29" t="str">
        <f t="shared" si="10"/>
        <v>Shaheed Benazirabad</v>
      </c>
      <c r="G129" s="29" t="s">
        <v>68</v>
      </c>
      <c r="H129" s="29" t="str">
        <f t="shared" si="11"/>
        <v>Premium</v>
      </c>
      <c r="I129" s="29" t="s">
        <v>49</v>
      </c>
      <c r="J129" s="29" t="str">
        <f t="shared" si="12"/>
        <v>Salary</v>
      </c>
      <c r="K129" s="29" t="s">
        <v>56</v>
      </c>
      <c r="L129" s="29" t="str">
        <f t="shared" si="13"/>
        <v>Withdrawal</v>
      </c>
      <c r="M129" s="29" t="s">
        <v>60</v>
      </c>
      <c r="N129" s="29" t="str">
        <f t="shared" si="14"/>
        <v>Atm</v>
      </c>
      <c r="O129" s="29" t="s">
        <v>52</v>
      </c>
      <c r="P129" s="32">
        <v>35955.99</v>
      </c>
      <c r="Q129" s="32">
        <v>0</v>
      </c>
      <c r="R129" s="32" t="str">
        <f t="shared" si="15"/>
        <v>Completed</v>
      </c>
      <c r="S129" s="29" t="s">
        <v>45</v>
      </c>
      <c r="T129" s="29" t="s">
        <v>70</v>
      </c>
    </row>
    <row r="130" spans="1:20">
      <c r="A130" s="29" t="s">
        <v>205</v>
      </c>
      <c r="B130" s="33" t="str">
        <f t="shared" ref="B130:B193" si="16">TEXT(C:C,"mm-yy")</f>
        <v>04-25</v>
      </c>
      <c r="C130" s="30">
        <v>45763</v>
      </c>
      <c r="D130" s="31" t="str">
        <f t="shared" ref="D130:D193" si="17">PROPER(TRIM(E:E))</f>
        <v>Larkana</v>
      </c>
      <c r="E130" s="29" t="s">
        <v>48</v>
      </c>
      <c r="F130" s="29" t="str">
        <f t="shared" ref="F130:F193" si="18">PROPER(TRIM(G:G))</f>
        <v>Larkana</v>
      </c>
      <c r="G130" s="29" t="s">
        <v>48</v>
      </c>
      <c r="H130" s="29" t="str">
        <f t="shared" ref="H130:H193" si="19">PROPER(TRIM(I:I))</f>
        <v>Premium</v>
      </c>
      <c r="I130" s="29" t="s">
        <v>49</v>
      </c>
      <c r="J130" s="29" t="str">
        <f t="shared" ref="J130:J193" si="20">PROPER(TRIM(K:K))</f>
        <v>Current</v>
      </c>
      <c r="K130" s="29" t="s">
        <v>50</v>
      </c>
      <c r="L130" s="29" t="str">
        <f t="shared" ref="L130:L193" si="21">PROPER(TRIM(M:M))</f>
        <v>Transfer</v>
      </c>
      <c r="M130" s="29" t="s">
        <v>83</v>
      </c>
      <c r="N130" s="29" t="str">
        <f t="shared" ref="N130:N193" si="22">PROPER(TRIM(O:O))</f>
        <v>Branch</v>
      </c>
      <c r="O130" s="29" t="s">
        <v>30</v>
      </c>
      <c r="P130" s="32">
        <v>169554.05</v>
      </c>
      <c r="Q130" s="32">
        <v>120.97</v>
      </c>
      <c r="R130" s="32" t="str">
        <f t="shared" ref="R130:R193" si="23">PROPER(TRIM(S:S))</f>
        <v>Completed</v>
      </c>
      <c r="S130" s="29" t="s">
        <v>45</v>
      </c>
      <c r="T130" s="29" t="s">
        <v>75</v>
      </c>
    </row>
    <row r="131" spans="1:20">
      <c r="A131" s="29" t="s">
        <v>206</v>
      </c>
      <c r="B131" s="33" t="str">
        <f t="shared" si="16"/>
        <v>11-26</v>
      </c>
      <c r="C131" s="30">
        <v>46329</v>
      </c>
      <c r="D131" s="31" t="str">
        <f t="shared" si="17"/>
        <v>Nawabshah</v>
      </c>
      <c r="E131" s="29" t="s">
        <v>67</v>
      </c>
      <c r="F131" s="29" t="str">
        <f t="shared" si="18"/>
        <v>Shaheed Benazirabad</v>
      </c>
      <c r="G131" s="29" t="s">
        <v>68</v>
      </c>
      <c r="H131" s="29" t="str">
        <f t="shared" si="19"/>
        <v>Sme</v>
      </c>
      <c r="I131" s="29" t="s">
        <v>55</v>
      </c>
      <c r="J131" s="29" t="str">
        <f t="shared" si="20"/>
        <v>Salary</v>
      </c>
      <c r="K131" s="29" t="s">
        <v>56</v>
      </c>
      <c r="L131" s="29" t="str">
        <f t="shared" si="21"/>
        <v>Withdrawal</v>
      </c>
      <c r="M131" s="29" t="s">
        <v>60</v>
      </c>
      <c r="N131" s="29" t="str">
        <f t="shared" si="22"/>
        <v>Mobile App</v>
      </c>
      <c r="O131" s="29" t="s">
        <v>61</v>
      </c>
      <c r="P131" s="32">
        <v>66423.600000000006</v>
      </c>
      <c r="Q131" s="32">
        <v>0</v>
      </c>
      <c r="R131" s="32" t="str">
        <f t="shared" si="23"/>
        <v>Completed</v>
      </c>
      <c r="S131" s="29" t="s">
        <v>45</v>
      </c>
      <c r="T131" s="29" t="s">
        <v>57</v>
      </c>
    </row>
    <row r="132" spans="1:20">
      <c r="A132" s="29" t="s">
        <v>207</v>
      </c>
      <c r="B132" s="33" t="str">
        <f t="shared" si="16"/>
        <v>10-25</v>
      </c>
      <c r="C132" s="30">
        <v>45952</v>
      </c>
      <c r="D132" s="31" t="str">
        <f t="shared" si="17"/>
        <v>Nawabshah</v>
      </c>
      <c r="E132" s="29" t="s">
        <v>67</v>
      </c>
      <c r="F132" s="29" t="str">
        <f t="shared" si="18"/>
        <v>Shaheed Benazirabad</v>
      </c>
      <c r="G132" s="29" t="s">
        <v>68</v>
      </c>
      <c r="H132" s="29" t="str">
        <f t="shared" si="19"/>
        <v>Sme</v>
      </c>
      <c r="I132" s="29" t="s">
        <v>55</v>
      </c>
      <c r="J132" s="29" t="str">
        <f t="shared" si="20"/>
        <v>Salary</v>
      </c>
      <c r="K132" s="29" t="s">
        <v>56</v>
      </c>
      <c r="L132" s="29" t="str">
        <f t="shared" si="21"/>
        <v>Withdrawal</v>
      </c>
      <c r="M132" s="29" t="s">
        <v>60</v>
      </c>
      <c r="N132" s="29" t="str">
        <f t="shared" si="22"/>
        <v>Atm</v>
      </c>
      <c r="O132" s="29" t="s">
        <v>52</v>
      </c>
      <c r="P132" s="32">
        <v>20835.66</v>
      </c>
      <c r="Q132" s="32">
        <v>0</v>
      </c>
      <c r="R132" s="32" t="str">
        <f t="shared" si="23"/>
        <v>Completed</v>
      </c>
      <c r="S132" s="29" t="s">
        <v>45</v>
      </c>
      <c r="T132" s="29" t="s">
        <v>75</v>
      </c>
    </row>
    <row r="133" spans="1:20">
      <c r="A133" s="29" t="s">
        <v>208</v>
      </c>
      <c r="B133" s="33" t="str">
        <f t="shared" si="16"/>
        <v>02-25</v>
      </c>
      <c r="C133" s="30">
        <v>45695</v>
      </c>
      <c r="D133" s="31" t="str">
        <f t="shared" si="17"/>
        <v>Hyderabad</v>
      </c>
      <c r="E133" s="29" t="s">
        <v>63</v>
      </c>
      <c r="F133" s="29" t="str">
        <f t="shared" si="18"/>
        <v>Hyderabad</v>
      </c>
      <c r="G133" s="29" t="s">
        <v>63</v>
      </c>
      <c r="H133" s="29" t="str">
        <f t="shared" si="19"/>
        <v>Corporate</v>
      </c>
      <c r="I133" s="29" t="s">
        <v>64</v>
      </c>
      <c r="J133" s="29" t="str">
        <f t="shared" si="20"/>
        <v>Savings</v>
      </c>
      <c r="K133" s="29" t="s">
        <v>69</v>
      </c>
      <c r="L133" s="29" t="str">
        <f t="shared" si="21"/>
        <v>Withdrawal</v>
      </c>
      <c r="M133" s="29" t="s">
        <v>60</v>
      </c>
      <c r="N133" s="29" t="str">
        <f t="shared" si="22"/>
        <v>Atm</v>
      </c>
      <c r="O133" s="29" t="s">
        <v>52</v>
      </c>
      <c r="P133" s="32">
        <v>12820.5</v>
      </c>
      <c r="Q133" s="32">
        <v>0</v>
      </c>
      <c r="R133" s="32" t="str">
        <f t="shared" si="23"/>
        <v>Completed</v>
      </c>
      <c r="S133" s="29" t="s">
        <v>45</v>
      </c>
      <c r="T133" s="29" t="s">
        <v>57</v>
      </c>
    </row>
    <row r="134" spans="1:20">
      <c r="A134" s="29" t="s">
        <v>209</v>
      </c>
      <c r="B134" s="33" t="str">
        <f t="shared" si="16"/>
        <v>03-26</v>
      </c>
      <c r="C134" s="30">
        <v>46102</v>
      </c>
      <c r="D134" s="31" t="str">
        <f t="shared" si="17"/>
        <v>Larkana</v>
      </c>
      <c r="E134" s="29" t="s">
        <v>48</v>
      </c>
      <c r="F134" s="29" t="str">
        <f t="shared" si="18"/>
        <v>Larkana</v>
      </c>
      <c r="G134" s="29" t="s">
        <v>48</v>
      </c>
      <c r="H134" s="29" t="str">
        <f t="shared" si="19"/>
        <v>Corporate</v>
      </c>
      <c r="I134" s="29" t="s">
        <v>64</v>
      </c>
      <c r="J134" s="29" t="str">
        <f t="shared" si="20"/>
        <v>Salary</v>
      </c>
      <c r="K134" s="29" t="s">
        <v>56</v>
      </c>
      <c r="L134" s="29" t="str">
        <f t="shared" si="21"/>
        <v>Deposit</v>
      </c>
      <c r="M134" s="29" t="s">
        <v>43</v>
      </c>
      <c r="N134" s="29" t="str">
        <f t="shared" si="22"/>
        <v>Mobile App</v>
      </c>
      <c r="O134" s="29" t="s">
        <v>61</v>
      </c>
      <c r="P134" s="32">
        <v>106097.96</v>
      </c>
      <c r="Q134" s="32">
        <v>0</v>
      </c>
      <c r="R134" s="32" t="str">
        <f t="shared" si="23"/>
        <v>Completed</v>
      </c>
      <c r="S134" s="29" t="s">
        <v>45</v>
      </c>
      <c r="T134" s="29" t="s">
        <v>57</v>
      </c>
    </row>
    <row r="135" spans="1:20">
      <c r="A135" s="29" t="s">
        <v>210</v>
      </c>
      <c r="B135" s="33" t="str">
        <f t="shared" si="16"/>
        <v>06-25</v>
      </c>
      <c r="C135" s="30">
        <v>45809</v>
      </c>
      <c r="D135" s="31" t="str">
        <f t="shared" si="17"/>
        <v>Nawabshah</v>
      </c>
      <c r="E135" s="29" t="s">
        <v>67</v>
      </c>
      <c r="F135" s="29" t="str">
        <f t="shared" si="18"/>
        <v>Shaheed Benazirabad</v>
      </c>
      <c r="G135" s="29" t="s">
        <v>68</v>
      </c>
      <c r="H135" s="29" t="str">
        <f t="shared" si="19"/>
        <v>Corporate</v>
      </c>
      <c r="I135" s="29" t="s">
        <v>64</v>
      </c>
      <c r="J135" s="29" t="str">
        <f t="shared" si="20"/>
        <v>Savings</v>
      </c>
      <c r="K135" s="29" t="s">
        <v>69</v>
      </c>
      <c r="L135" s="29" t="str">
        <f t="shared" si="21"/>
        <v>Deposit</v>
      </c>
      <c r="M135" s="29" t="s">
        <v>43</v>
      </c>
      <c r="N135" s="29" t="str">
        <f t="shared" si="22"/>
        <v>Mobile App</v>
      </c>
      <c r="O135" s="29" t="s">
        <v>61</v>
      </c>
      <c r="P135" s="32">
        <v>45589.35</v>
      </c>
      <c r="Q135" s="32">
        <v>0</v>
      </c>
      <c r="R135" s="32" t="str">
        <f t="shared" si="23"/>
        <v>Completed</v>
      </c>
      <c r="S135" s="29" t="s">
        <v>45</v>
      </c>
      <c r="T135" s="29" t="s">
        <v>46</v>
      </c>
    </row>
    <row r="136" spans="1:20">
      <c r="A136" s="29" t="s">
        <v>211</v>
      </c>
      <c r="B136" s="33" t="str">
        <f t="shared" si="16"/>
        <v>01-25</v>
      </c>
      <c r="C136" s="30">
        <v>45676</v>
      </c>
      <c r="D136" s="31" t="str">
        <f t="shared" si="17"/>
        <v>Karachi Main</v>
      </c>
      <c r="E136" s="29" t="s">
        <v>73</v>
      </c>
      <c r="F136" s="29" t="str">
        <f t="shared" si="18"/>
        <v>Karachi</v>
      </c>
      <c r="G136" s="29" t="s">
        <v>74</v>
      </c>
      <c r="H136" s="29" t="str">
        <f t="shared" si="19"/>
        <v>Premium</v>
      </c>
      <c r="I136" s="29" t="s">
        <v>49</v>
      </c>
      <c r="J136" s="29" t="str">
        <f t="shared" si="20"/>
        <v>Current</v>
      </c>
      <c r="K136" s="29" t="s">
        <v>212</v>
      </c>
      <c r="L136" s="29" t="str">
        <f t="shared" si="21"/>
        <v>Transfer</v>
      </c>
      <c r="M136" s="29" t="s">
        <v>83</v>
      </c>
      <c r="N136" s="29" t="str">
        <f t="shared" si="22"/>
        <v>Atm</v>
      </c>
      <c r="O136" s="29" t="s">
        <v>52</v>
      </c>
      <c r="P136" s="32">
        <v>103696.6</v>
      </c>
      <c r="Q136" s="32">
        <v>98.66</v>
      </c>
      <c r="R136" s="32" t="str">
        <f t="shared" si="23"/>
        <v>Completed</v>
      </c>
      <c r="S136" s="29" t="s">
        <v>45</v>
      </c>
      <c r="T136" s="29" t="s">
        <v>75</v>
      </c>
    </row>
    <row r="137" spans="1:20">
      <c r="A137" s="29" t="s">
        <v>213</v>
      </c>
      <c r="B137" s="33" t="str">
        <f t="shared" si="16"/>
        <v>05-26</v>
      </c>
      <c r="C137" s="30">
        <v>46167</v>
      </c>
      <c r="D137" s="31" t="str">
        <f t="shared" si="17"/>
        <v>Hyderabad</v>
      </c>
      <c r="E137" s="29" t="s">
        <v>63</v>
      </c>
      <c r="F137" s="29" t="str">
        <f t="shared" si="18"/>
        <v>Hyderabad</v>
      </c>
      <c r="G137" s="29" t="s">
        <v>63</v>
      </c>
      <c r="H137" s="29" t="str">
        <f t="shared" si="19"/>
        <v>Premium</v>
      </c>
      <c r="I137" s="29" t="s">
        <v>49</v>
      </c>
      <c r="J137" s="29" t="str">
        <f t="shared" si="20"/>
        <v>Current</v>
      </c>
      <c r="K137" s="29" t="s">
        <v>50</v>
      </c>
      <c r="L137" s="29" t="str">
        <f t="shared" si="21"/>
        <v>Deposit</v>
      </c>
      <c r="M137" s="29" t="s">
        <v>43</v>
      </c>
      <c r="N137" s="29" t="str">
        <f t="shared" si="22"/>
        <v>Mobile App</v>
      </c>
      <c r="O137" s="29" t="s">
        <v>61</v>
      </c>
      <c r="P137" s="32">
        <v>40789.449999999997</v>
      </c>
      <c r="Q137" s="32">
        <v>0</v>
      </c>
      <c r="R137" s="32" t="str">
        <f t="shared" si="23"/>
        <v>Completed</v>
      </c>
      <c r="S137" s="29" t="s">
        <v>45</v>
      </c>
      <c r="T137" s="29" t="s">
        <v>46</v>
      </c>
    </row>
    <row r="138" spans="1:20">
      <c r="A138" s="29" t="s">
        <v>214</v>
      </c>
      <c r="B138" s="33" t="str">
        <f t="shared" si="16"/>
        <v>08-25</v>
      </c>
      <c r="C138" s="30">
        <v>45878</v>
      </c>
      <c r="D138" s="31" t="str">
        <f t="shared" si="17"/>
        <v>Nawabshah</v>
      </c>
      <c r="E138" s="29" t="s">
        <v>67</v>
      </c>
      <c r="F138" s="29" t="str">
        <f t="shared" si="18"/>
        <v>Shaheed Benazirabad</v>
      </c>
      <c r="G138" s="29" t="s">
        <v>68</v>
      </c>
      <c r="H138" s="29" t="str">
        <f t="shared" si="19"/>
        <v>Premium</v>
      </c>
      <c r="I138" s="29" t="s">
        <v>49</v>
      </c>
      <c r="J138" s="29" t="str">
        <f t="shared" si="20"/>
        <v>Savings</v>
      </c>
      <c r="K138" s="29" t="s">
        <v>69</v>
      </c>
      <c r="L138" s="29" t="str">
        <f t="shared" si="21"/>
        <v>Deposit</v>
      </c>
      <c r="M138" s="29" t="s">
        <v>43</v>
      </c>
      <c r="N138" s="29" t="str">
        <f t="shared" si="22"/>
        <v>Atm</v>
      </c>
      <c r="O138" s="29" t="s">
        <v>52</v>
      </c>
      <c r="P138" s="32">
        <v>34949.879999999997</v>
      </c>
      <c r="Q138" s="32">
        <v>0</v>
      </c>
      <c r="R138" s="32" t="str">
        <f t="shared" si="23"/>
        <v>Completed</v>
      </c>
      <c r="S138" s="29" t="s">
        <v>45</v>
      </c>
      <c r="T138" s="29" t="s">
        <v>53</v>
      </c>
    </row>
    <row r="139" spans="1:20">
      <c r="A139" s="29" t="s">
        <v>215</v>
      </c>
      <c r="B139" s="33" t="str">
        <f t="shared" si="16"/>
        <v>12-25</v>
      </c>
      <c r="C139" s="30">
        <v>46017</v>
      </c>
      <c r="D139" s="31" t="str">
        <f t="shared" si="17"/>
        <v>Larkana</v>
      </c>
      <c r="E139" s="29" t="s">
        <v>48</v>
      </c>
      <c r="F139" s="29" t="str">
        <f t="shared" si="18"/>
        <v>Larkana</v>
      </c>
      <c r="G139" s="29" t="s">
        <v>48</v>
      </c>
      <c r="H139" s="29" t="str">
        <f t="shared" si="19"/>
        <v>Retail</v>
      </c>
      <c r="I139" s="29" t="s">
        <v>77</v>
      </c>
      <c r="J139" s="29" t="str">
        <f t="shared" si="20"/>
        <v>Salary</v>
      </c>
      <c r="K139" s="29" t="s">
        <v>56</v>
      </c>
      <c r="L139" s="29" t="str">
        <f t="shared" si="21"/>
        <v>Withdrawal</v>
      </c>
      <c r="M139" s="29" t="s">
        <v>60</v>
      </c>
      <c r="N139" s="29" t="str">
        <f t="shared" si="22"/>
        <v>Mobile App</v>
      </c>
      <c r="O139" s="29" t="s">
        <v>61</v>
      </c>
      <c r="P139" s="32">
        <v>1407.54</v>
      </c>
      <c r="Q139" s="32">
        <v>0</v>
      </c>
      <c r="R139" s="32" t="str">
        <f t="shared" si="23"/>
        <v>Completed</v>
      </c>
      <c r="S139" s="29" t="s">
        <v>45</v>
      </c>
      <c r="T139" s="29" t="s">
        <v>70</v>
      </c>
    </row>
    <row r="140" spans="1:20">
      <c r="A140" s="29" t="s">
        <v>216</v>
      </c>
      <c r="B140" s="33" t="str">
        <f t="shared" si="16"/>
        <v>02-26</v>
      </c>
      <c r="C140" s="30">
        <v>46054</v>
      </c>
      <c r="D140" s="31" t="str">
        <f t="shared" si="17"/>
        <v>Sukher</v>
      </c>
      <c r="E140" s="29" t="s">
        <v>408</v>
      </c>
      <c r="F140" s="29" t="str">
        <f t="shared" si="18"/>
        <v>Sukher</v>
      </c>
      <c r="G140" s="29" t="s">
        <v>408</v>
      </c>
      <c r="H140" s="29" t="str">
        <f t="shared" si="19"/>
        <v>Premium</v>
      </c>
      <c r="I140" s="29" t="s">
        <v>49</v>
      </c>
      <c r="J140" s="29" t="str">
        <f t="shared" si="20"/>
        <v>Current</v>
      </c>
      <c r="K140" s="29" t="s">
        <v>50</v>
      </c>
      <c r="L140" s="29" t="str">
        <f t="shared" si="21"/>
        <v>Transfer</v>
      </c>
      <c r="M140" s="29" t="s">
        <v>83</v>
      </c>
      <c r="N140" s="29" t="str">
        <f t="shared" si="22"/>
        <v>Internet Banking</v>
      </c>
      <c r="O140" s="29" t="s">
        <v>78</v>
      </c>
      <c r="P140" s="32">
        <v>112376.09</v>
      </c>
      <c r="Q140" s="32">
        <v>34.75</v>
      </c>
      <c r="R140" s="32" t="str">
        <f t="shared" si="23"/>
        <v>Completed</v>
      </c>
      <c r="S140" s="29" t="s">
        <v>45</v>
      </c>
      <c r="T140" s="29" t="s">
        <v>70</v>
      </c>
    </row>
    <row r="141" spans="1:20">
      <c r="A141" s="29" t="s">
        <v>217</v>
      </c>
      <c r="B141" s="33" t="str">
        <f t="shared" si="16"/>
        <v>12-25</v>
      </c>
      <c r="C141" s="30">
        <v>45992</v>
      </c>
      <c r="D141" s="31" t="str">
        <f t="shared" si="17"/>
        <v>Larkana</v>
      </c>
      <c r="E141" s="29" t="s">
        <v>48</v>
      </c>
      <c r="F141" s="29" t="str">
        <f t="shared" si="18"/>
        <v>Larkana</v>
      </c>
      <c r="G141" s="29" t="s">
        <v>48</v>
      </c>
      <c r="H141" s="29" t="str">
        <f t="shared" si="19"/>
        <v>Premium</v>
      </c>
      <c r="I141" s="29" t="s">
        <v>49</v>
      </c>
      <c r="J141" s="29" t="str">
        <f t="shared" si="20"/>
        <v>Current</v>
      </c>
      <c r="K141" s="29" t="s">
        <v>50</v>
      </c>
      <c r="L141" s="29" t="str">
        <f t="shared" si="21"/>
        <v>Deposit</v>
      </c>
      <c r="M141" s="29" t="s">
        <v>43</v>
      </c>
      <c r="N141" s="29" t="str">
        <f t="shared" si="22"/>
        <v>Internet Banking</v>
      </c>
      <c r="O141" s="29" t="s">
        <v>78</v>
      </c>
      <c r="P141" s="32">
        <v>97556.89</v>
      </c>
      <c r="Q141" s="32">
        <v>0</v>
      </c>
      <c r="R141" s="32" t="str">
        <f t="shared" si="23"/>
        <v>Completed</v>
      </c>
      <c r="S141" s="29" t="s">
        <v>45</v>
      </c>
      <c r="T141" s="29" t="s">
        <v>57</v>
      </c>
    </row>
    <row r="142" spans="1:20">
      <c r="A142" s="29" t="s">
        <v>218</v>
      </c>
      <c r="B142" s="33" t="str">
        <f t="shared" si="16"/>
        <v>08-25</v>
      </c>
      <c r="C142" s="30">
        <v>45888</v>
      </c>
      <c r="D142" s="31" t="str">
        <f t="shared" si="17"/>
        <v>Sukher</v>
      </c>
      <c r="E142" s="29" t="s">
        <v>408</v>
      </c>
      <c r="F142" s="29" t="str">
        <f t="shared" si="18"/>
        <v>Sukher</v>
      </c>
      <c r="G142" s="29" t="s">
        <v>408</v>
      </c>
      <c r="H142" s="29" t="str">
        <f t="shared" si="19"/>
        <v>Corporate</v>
      </c>
      <c r="I142" s="29" t="s">
        <v>64</v>
      </c>
      <c r="J142" s="29" t="str">
        <f t="shared" si="20"/>
        <v>Savings</v>
      </c>
      <c r="K142" s="29" t="s">
        <v>69</v>
      </c>
      <c r="L142" s="29" t="str">
        <f t="shared" si="21"/>
        <v>Withdrawal</v>
      </c>
      <c r="M142" s="29" t="s">
        <v>60</v>
      </c>
      <c r="N142" s="29" t="str">
        <f t="shared" si="22"/>
        <v>Internet Banking</v>
      </c>
      <c r="O142" s="29" t="s">
        <v>78</v>
      </c>
      <c r="P142" s="32">
        <v>16816.71</v>
      </c>
      <c r="Q142" s="32">
        <v>0</v>
      </c>
      <c r="R142" s="32" t="str">
        <f t="shared" si="23"/>
        <v>Completed</v>
      </c>
      <c r="S142" s="29" t="s">
        <v>45</v>
      </c>
      <c r="T142" s="29" t="s">
        <v>46</v>
      </c>
    </row>
    <row r="143" spans="1:20">
      <c r="A143" s="29" t="s">
        <v>219</v>
      </c>
      <c r="B143" s="33" t="str">
        <f t="shared" si="16"/>
        <v>02-26</v>
      </c>
      <c r="C143" s="30">
        <v>46054</v>
      </c>
      <c r="D143" s="31" t="str">
        <f t="shared" si="17"/>
        <v>Larkana</v>
      </c>
      <c r="E143" s="29" t="s">
        <v>48</v>
      </c>
      <c r="F143" s="29" t="str">
        <f t="shared" si="18"/>
        <v>Larkana</v>
      </c>
      <c r="G143" s="29" t="s">
        <v>48</v>
      </c>
      <c r="H143" s="29" t="str">
        <f t="shared" si="19"/>
        <v>Unknown</v>
      </c>
      <c r="I143" s="29" t="s">
        <v>411</v>
      </c>
      <c r="J143" s="29" t="str">
        <f t="shared" si="20"/>
        <v>Current</v>
      </c>
      <c r="K143" s="29" t="s">
        <v>50</v>
      </c>
      <c r="L143" s="29" t="str">
        <f t="shared" si="21"/>
        <v>Bill Payment</v>
      </c>
      <c r="M143" s="29" t="s">
        <v>51</v>
      </c>
      <c r="N143" s="29" t="str">
        <f t="shared" si="22"/>
        <v>Mobile App</v>
      </c>
      <c r="O143" s="29" t="s">
        <v>61</v>
      </c>
      <c r="P143" s="32">
        <v>9156.57</v>
      </c>
      <c r="Q143" s="32">
        <v>74.45</v>
      </c>
      <c r="R143" s="32" t="str">
        <f t="shared" si="23"/>
        <v>Completed</v>
      </c>
      <c r="S143" s="29" t="s">
        <v>45</v>
      </c>
      <c r="T143" s="29" t="s">
        <v>57</v>
      </c>
    </row>
    <row r="144" spans="1:20">
      <c r="A144" s="29" t="s">
        <v>220</v>
      </c>
      <c r="B144" s="33" t="str">
        <f t="shared" si="16"/>
        <v>03-25</v>
      </c>
      <c r="C144" s="30">
        <v>45742</v>
      </c>
      <c r="D144" s="31" t="str">
        <f t="shared" si="17"/>
        <v>Karachi Main</v>
      </c>
      <c r="E144" s="29" t="s">
        <v>73</v>
      </c>
      <c r="F144" s="29" t="str">
        <f t="shared" si="18"/>
        <v>Karachi</v>
      </c>
      <c r="G144" s="29" t="s">
        <v>74</v>
      </c>
      <c r="H144" s="29" t="str">
        <f t="shared" si="19"/>
        <v>Sme</v>
      </c>
      <c r="I144" s="29" t="s">
        <v>55</v>
      </c>
      <c r="J144" s="29" t="str">
        <f t="shared" si="20"/>
        <v>Salary</v>
      </c>
      <c r="K144" s="29" t="s">
        <v>56</v>
      </c>
      <c r="L144" s="29" t="str">
        <f t="shared" si="21"/>
        <v>Deposit</v>
      </c>
      <c r="M144" s="29" t="s">
        <v>43</v>
      </c>
      <c r="N144" s="29" t="str">
        <f t="shared" si="22"/>
        <v>Mobile App</v>
      </c>
      <c r="O144" s="29" t="s">
        <v>61</v>
      </c>
      <c r="P144" s="32">
        <v>55216.89</v>
      </c>
      <c r="Q144" s="32">
        <v>0</v>
      </c>
      <c r="R144" s="32" t="str">
        <f t="shared" si="23"/>
        <v>Completed</v>
      </c>
      <c r="S144" s="29" t="s">
        <v>45</v>
      </c>
      <c r="T144" s="29" t="s">
        <v>46</v>
      </c>
    </row>
    <row r="145" spans="1:20">
      <c r="A145" s="29" t="s">
        <v>221</v>
      </c>
      <c r="B145" s="33" t="str">
        <f t="shared" si="16"/>
        <v>10-25</v>
      </c>
      <c r="C145" s="30">
        <v>45940</v>
      </c>
      <c r="D145" s="31" t="str">
        <f t="shared" si="17"/>
        <v>Nawabshah</v>
      </c>
      <c r="E145" s="29" t="s">
        <v>67</v>
      </c>
      <c r="F145" s="29" t="str">
        <f t="shared" si="18"/>
        <v>Shaheed Benazirabad</v>
      </c>
      <c r="G145" s="29" t="s">
        <v>68</v>
      </c>
      <c r="H145" s="29" t="str">
        <f t="shared" si="19"/>
        <v>Sme</v>
      </c>
      <c r="I145" s="29" t="s">
        <v>55</v>
      </c>
      <c r="J145" s="29" t="str">
        <f t="shared" si="20"/>
        <v>Savings</v>
      </c>
      <c r="K145" s="29" t="s">
        <v>69</v>
      </c>
      <c r="L145" s="29" t="str">
        <f t="shared" si="21"/>
        <v>Transfer</v>
      </c>
      <c r="M145" s="29" t="s">
        <v>83</v>
      </c>
      <c r="N145" s="29" t="str">
        <f t="shared" si="22"/>
        <v>Mobile App</v>
      </c>
      <c r="O145" s="29" t="s">
        <v>61</v>
      </c>
      <c r="P145" s="32">
        <v>16703.68</v>
      </c>
      <c r="Q145" s="32">
        <v>85.37</v>
      </c>
      <c r="R145" s="32" t="str">
        <f t="shared" si="23"/>
        <v>Completed</v>
      </c>
      <c r="S145" s="29" t="s">
        <v>45</v>
      </c>
      <c r="T145" s="29" t="s">
        <v>46</v>
      </c>
    </row>
    <row r="146" spans="1:20">
      <c r="A146" s="29" t="s">
        <v>222</v>
      </c>
      <c r="B146" s="33" t="str">
        <f t="shared" si="16"/>
        <v>04-26</v>
      </c>
      <c r="C146" s="30">
        <v>46124</v>
      </c>
      <c r="D146" s="31" t="str">
        <f t="shared" si="17"/>
        <v>Sukher</v>
      </c>
      <c r="E146" s="29" t="s">
        <v>408</v>
      </c>
      <c r="F146" s="29" t="str">
        <f t="shared" si="18"/>
        <v>Sukher</v>
      </c>
      <c r="G146" s="29" t="s">
        <v>408</v>
      </c>
      <c r="H146" s="29" t="str">
        <f t="shared" si="19"/>
        <v>Corporate</v>
      </c>
      <c r="I146" s="29" t="s">
        <v>64</v>
      </c>
      <c r="J146" s="29" t="str">
        <f t="shared" si="20"/>
        <v>Current</v>
      </c>
      <c r="K146" s="29" t="s">
        <v>50</v>
      </c>
      <c r="L146" s="29" t="str">
        <f t="shared" si="21"/>
        <v>Transfer</v>
      </c>
      <c r="M146" s="29" t="s">
        <v>83</v>
      </c>
      <c r="N146" s="29" t="str">
        <f t="shared" si="22"/>
        <v>Internet Banking</v>
      </c>
      <c r="O146" s="29" t="s">
        <v>78</v>
      </c>
      <c r="P146" s="32">
        <v>136433.65</v>
      </c>
      <c r="Q146" s="32">
        <v>125.59</v>
      </c>
      <c r="R146" s="32" t="str">
        <f t="shared" si="23"/>
        <v>Completed</v>
      </c>
      <c r="S146" s="29" t="s">
        <v>45</v>
      </c>
      <c r="T146" s="29" t="s">
        <v>70</v>
      </c>
    </row>
    <row r="147" spans="1:20">
      <c r="A147" s="29" t="s">
        <v>223</v>
      </c>
      <c r="B147" s="33" t="str">
        <f t="shared" si="16"/>
        <v>09-25</v>
      </c>
      <c r="C147" s="30">
        <v>45918</v>
      </c>
      <c r="D147" s="31" t="str">
        <f t="shared" si="17"/>
        <v>Karachi Main</v>
      </c>
      <c r="E147" s="29" t="s">
        <v>73</v>
      </c>
      <c r="F147" s="29" t="str">
        <f t="shared" si="18"/>
        <v>Karachi</v>
      </c>
      <c r="G147" s="29" t="s">
        <v>74</v>
      </c>
      <c r="H147" s="29" t="str">
        <f t="shared" si="19"/>
        <v>Sme</v>
      </c>
      <c r="I147" s="29" t="s">
        <v>55</v>
      </c>
      <c r="J147" s="29" t="str">
        <f t="shared" si="20"/>
        <v>Current</v>
      </c>
      <c r="K147" s="29" t="s">
        <v>50</v>
      </c>
      <c r="L147" s="29" t="str">
        <f t="shared" si="21"/>
        <v>Withdrawal</v>
      </c>
      <c r="M147" s="29" t="s">
        <v>60</v>
      </c>
      <c r="N147" s="29" t="str">
        <f t="shared" si="22"/>
        <v>Internet Banking</v>
      </c>
      <c r="O147" s="29" t="s">
        <v>78</v>
      </c>
      <c r="P147" s="32">
        <v>63095.7</v>
      </c>
      <c r="Q147" s="32">
        <v>0</v>
      </c>
      <c r="R147" s="32" t="str">
        <f t="shared" si="23"/>
        <v>Completed</v>
      </c>
      <c r="S147" s="29" t="s">
        <v>45</v>
      </c>
      <c r="T147" s="29" t="s">
        <v>53</v>
      </c>
    </row>
    <row r="148" spans="1:20">
      <c r="A148" s="29" t="s">
        <v>224</v>
      </c>
      <c r="B148" s="33" t="str">
        <f t="shared" si="16"/>
        <v>04-25</v>
      </c>
      <c r="C148" s="30">
        <v>45760</v>
      </c>
      <c r="D148" s="31" t="str">
        <f t="shared" si="17"/>
        <v>Larkana</v>
      </c>
      <c r="E148" s="29" t="s">
        <v>48</v>
      </c>
      <c r="F148" s="29" t="str">
        <f t="shared" si="18"/>
        <v>Larkana</v>
      </c>
      <c r="G148" s="29" t="s">
        <v>48</v>
      </c>
      <c r="H148" s="29" t="str">
        <f t="shared" si="19"/>
        <v>Corporate</v>
      </c>
      <c r="I148" s="29" t="s">
        <v>64</v>
      </c>
      <c r="J148" s="29" t="str">
        <f t="shared" si="20"/>
        <v>Savings</v>
      </c>
      <c r="K148" s="29" t="s">
        <v>69</v>
      </c>
      <c r="L148" s="29" t="str">
        <f t="shared" si="21"/>
        <v>Deposit</v>
      </c>
      <c r="M148" s="29" t="s">
        <v>43</v>
      </c>
      <c r="N148" s="29" t="str">
        <f t="shared" si="22"/>
        <v>Mobile App</v>
      </c>
      <c r="O148" s="29" t="s">
        <v>61</v>
      </c>
      <c r="P148" s="32">
        <v>102229.95</v>
      </c>
      <c r="Q148" s="32">
        <v>0</v>
      </c>
      <c r="R148" s="32" t="str">
        <f t="shared" si="23"/>
        <v>Completed</v>
      </c>
      <c r="S148" s="29" t="s">
        <v>45</v>
      </c>
      <c r="T148" s="29" t="s">
        <v>75</v>
      </c>
    </row>
    <row r="149" spans="1:20">
      <c r="A149" s="29" t="s">
        <v>225</v>
      </c>
      <c r="B149" s="33" t="str">
        <f t="shared" si="16"/>
        <v>02-26</v>
      </c>
      <c r="C149" s="30">
        <v>46055</v>
      </c>
      <c r="D149" s="31" t="str">
        <f t="shared" si="17"/>
        <v>Hyderabad</v>
      </c>
      <c r="E149" s="29" t="s">
        <v>63</v>
      </c>
      <c r="F149" s="29" t="str">
        <f t="shared" si="18"/>
        <v>Hyderabad</v>
      </c>
      <c r="G149" s="29" t="s">
        <v>63</v>
      </c>
      <c r="H149" s="29" t="str">
        <f t="shared" si="19"/>
        <v>Sme</v>
      </c>
      <c r="I149" s="29" t="s">
        <v>55</v>
      </c>
      <c r="J149" s="29" t="str">
        <f t="shared" si="20"/>
        <v>Current</v>
      </c>
      <c r="K149" s="29" t="s">
        <v>50</v>
      </c>
      <c r="L149" s="29" t="str">
        <f t="shared" si="21"/>
        <v>Transfer</v>
      </c>
      <c r="M149" s="29" t="s">
        <v>83</v>
      </c>
      <c r="N149" s="29" t="str">
        <f t="shared" si="22"/>
        <v>Internet Banking</v>
      </c>
      <c r="O149" s="29" t="s">
        <v>78</v>
      </c>
      <c r="P149" s="32">
        <v>86941.82</v>
      </c>
      <c r="Q149" s="32">
        <v>72.31</v>
      </c>
      <c r="R149" s="32" t="str">
        <f t="shared" si="23"/>
        <v>Pending</v>
      </c>
      <c r="S149" s="29" t="s">
        <v>84</v>
      </c>
      <c r="T149" s="29" t="s">
        <v>75</v>
      </c>
    </row>
    <row r="150" spans="1:20">
      <c r="A150" s="29" t="s">
        <v>226</v>
      </c>
      <c r="B150" s="33" t="str">
        <f t="shared" si="16"/>
        <v>10-25</v>
      </c>
      <c r="C150" s="30">
        <v>45956</v>
      </c>
      <c r="D150" s="31" t="str">
        <f t="shared" si="17"/>
        <v>Sukher</v>
      </c>
      <c r="E150" s="29" t="s">
        <v>408</v>
      </c>
      <c r="F150" s="29" t="str">
        <f t="shared" si="18"/>
        <v>Sukher</v>
      </c>
      <c r="G150" s="29" t="s">
        <v>408</v>
      </c>
      <c r="H150" s="29" t="str">
        <f t="shared" si="19"/>
        <v>Corporate</v>
      </c>
      <c r="I150" s="29" t="s">
        <v>64</v>
      </c>
      <c r="J150" s="29" t="str">
        <f t="shared" si="20"/>
        <v>Savings</v>
      </c>
      <c r="K150" s="29" t="s">
        <v>69</v>
      </c>
      <c r="L150" s="29" t="str">
        <f t="shared" si="21"/>
        <v>Withdrawal</v>
      </c>
      <c r="M150" s="29" t="s">
        <v>60</v>
      </c>
      <c r="N150" s="29" t="str">
        <f t="shared" si="22"/>
        <v>Internet Banking</v>
      </c>
      <c r="O150" s="29" t="s">
        <v>78</v>
      </c>
      <c r="P150" s="32">
        <v>24672.23</v>
      </c>
      <c r="Q150" s="32">
        <v>0</v>
      </c>
      <c r="R150" s="32" t="str">
        <f t="shared" si="23"/>
        <v>Completed</v>
      </c>
      <c r="S150" s="29" t="s">
        <v>45</v>
      </c>
      <c r="T150" s="29" t="s">
        <v>65</v>
      </c>
    </row>
    <row r="151" spans="1:20">
      <c r="A151" s="29" t="s">
        <v>227</v>
      </c>
      <c r="B151" s="33" t="str">
        <f t="shared" si="16"/>
        <v>08-25</v>
      </c>
      <c r="C151" s="30">
        <v>45877</v>
      </c>
      <c r="D151" s="31" t="str">
        <f t="shared" si="17"/>
        <v>Sukher</v>
      </c>
      <c r="E151" s="29" t="s">
        <v>408</v>
      </c>
      <c r="F151" s="29" t="str">
        <f t="shared" si="18"/>
        <v>Sukher</v>
      </c>
      <c r="G151" s="29" t="s">
        <v>408</v>
      </c>
      <c r="H151" s="29" t="str">
        <f t="shared" si="19"/>
        <v>Sme</v>
      </c>
      <c r="I151" s="29" t="s">
        <v>55</v>
      </c>
      <c r="J151" s="29" t="str">
        <f t="shared" si="20"/>
        <v>Current</v>
      </c>
      <c r="K151" s="29" t="s">
        <v>50</v>
      </c>
      <c r="L151" s="29" t="str">
        <f t="shared" si="21"/>
        <v>Deposit</v>
      </c>
      <c r="M151" s="29" t="s">
        <v>43</v>
      </c>
      <c r="N151" s="29" t="str">
        <f t="shared" si="22"/>
        <v>Internet Banking</v>
      </c>
      <c r="O151" s="29" t="s">
        <v>78</v>
      </c>
      <c r="P151" s="32">
        <v>42431.86</v>
      </c>
      <c r="Q151" s="32">
        <v>0</v>
      </c>
      <c r="R151" s="32" t="str">
        <f t="shared" si="23"/>
        <v>Completed</v>
      </c>
      <c r="S151" s="29" t="s">
        <v>45</v>
      </c>
      <c r="T151" s="29" t="s">
        <v>65</v>
      </c>
    </row>
    <row r="152" spans="1:20">
      <c r="A152" s="29" t="s">
        <v>228</v>
      </c>
      <c r="B152" s="33" t="str">
        <f t="shared" si="16"/>
        <v>02-26</v>
      </c>
      <c r="C152" s="30">
        <v>46066</v>
      </c>
      <c r="D152" s="31" t="str">
        <f t="shared" si="17"/>
        <v>Hyderabad</v>
      </c>
      <c r="E152" s="29" t="s">
        <v>63</v>
      </c>
      <c r="F152" s="29" t="str">
        <f t="shared" si="18"/>
        <v>Hyderabad</v>
      </c>
      <c r="G152" s="29" t="s">
        <v>63</v>
      </c>
      <c r="H152" s="29" t="str">
        <f t="shared" si="19"/>
        <v>Sme</v>
      </c>
      <c r="I152" s="29" t="s">
        <v>55</v>
      </c>
      <c r="J152" s="29" t="str">
        <f t="shared" si="20"/>
        <v>Savings</v>
      </c>
      <c r="K152" s="29" t="s">
        <v>69</v>
      </c>
      <c r="L152" s="29" t="str">
        <f t="shared" si="21"/>
        <v>Withdrawal</v>
      </c>
      <c r="M152" s="29" t="s">
        <v>60</v>
      </c>
      <c r="N152" s="29" t="str">
        <f t="shared" si="22"/>
        <v>Atm</v>
      </c>
      <c r="O152" s="29" t="s">
        <v>52</v>
      </c>
      <c r="P152" s="32">
        <v>33354</v>
      </c>
      <c r="Q152" s="32">
        <v>0</v>
      </c>
      <c r="R152" s="32" t="str">
        <f t="shared" si="23"/>
        <v>Completed</v>
      </c>
      <c r="S152" s="29" t="s">
        <v>45</v>
      </c>
      <c r="T152" s="29" t="s">
        <v>75</v>
      </c>
    </row>
    <row r="153" spans="1:20">
      <c r="A153" s="29" t="s">
        <v>229</v>
      </c>
      <c r="B153" s="33" t="str">
        <f t="shared" si="16"/>
        <v>09-25</v>
      </c>
      <c r="C153" s="30">
        <v>45914</v>
      </c>
      <c r="D153" s="31" t="str">
        <f t="shared" si="17"/>
        <v>Hyderabad</v>
      </c>
      <c r="E153" s="29" t="s">
        <v>63</v>
      </c>
      <c r="F153" s="29" t="str">
        <f t="shared" si="18"/>
        <v>Hyderabad</v>
      </c>
      <c r="G153" s="29" t="s">
        <v>63</v>
      </c>
      <c r="H153" s="29" t="str">
        <f t="shared" si="19"/>
        <v>Sme</v>
      </c>
      <c r="I153" s="29" t="s">
        <v>55</v>
      </c>
      <c r="J153" s="29" t="str">
        <f t="shared" si="20"/>
        <v>Salary</v>
      </c>
      <c r="K153" s="29" t="s">
        <v>56</v>
      </c>
      <c r="L153" s="29" t="str">
        <f t="shared" si="21"/>
        <v>Deposit</v>
      </c>
      <c r="M153" s="29" t="s">
        <v>43</v>
      </c>
      <c r="N153" s="29" t="str">
        <f t="shared" si="22"/>
        <v>Internet Banking</v>
      </c>
      <c r="O153" s="29" t="s">
        <v>78</v>
      </c>
      <c r="P153" s="32">
        <v>63298.76</v>
      </c>
      <c r="Q153" s="32">
        <v>0</v>
      </c>
      <c r="R153" s="32" t="str">
        <f t="shared" si="23"/>
        <v>Pending</v>
      </c>
      <c r="S153" s="29" t="s">
        <v>84</v>
      </c>
      <c r="T153" s="29" t="s">
        <v>53</v>
      </c>
    </row>
    <row r="154" spans="1:20">
      <c r="A154" s="29" t="s">
        <v>230</v>
      </c>
      <c r="B154" s="33" t="str">
        <f t="shared" si="16"/>
        <v>12-25</v>
      </c>
      <c r="C154" s="30">
        <v>46015</v>
      </c>
      <c r="D154" s="31" t="str">
        <f t="shared" si="17"/>
        <v>Hyderabad</v>
      </c>
      <c r="E154" s="29" t="s">
        <v>63</v>
      </c>
      <c r="F154" s="29" t="str">
        <f t="shared" si="18"/>
        <v>Hyderabad</v>
      </c>
      <c r="G154" s="29" t="s">
        <v>63</v>
      </c>
      <c r="H154" s="29" t="str">
        <f t="shared" si="19"/>
        <v>Retail</v>
      </c>
      <c r="I154" s="29" t="s">
        <v>77</v>
      </c>
      <c r="J154" s="29" t="str">
        <f t="shared" si="20"/>
        <v>Savings</v>
      </c>
      <c r="K154" s="29" t="s">
        <v>69</v>
      </c>
      <c r="L154" s="29" t="str">
        <f t="shared" si="21"/>
        <v>Bill Payment</v>
      </c>
      <c r="M154" s="29" t="s">
        <v>51</v>
      </c>
      <c r="N154" s="29" t="str">
        <f t="shared" si="22"/>
        <v>Mobile App</v>
      </c>
      <c r="O154" s="29" t="s">
        <v>61</v>
      </c>
      <c r="P154" s="32">
        <v>27422.79</v>
      </c>
      <c r="Q154" s="32">
        <v>69.42</v>
      </c>
      <c r="R154" s="32" t="str">
        <f t="shared" si="23"/>
        <v>Completed</v>
      </c>
      <c r="S154" s="29" t="s">
        <v>45</v>
      </c>
      <c r="T154" s="29" t="s">
        <v>53</v>
      </c>
    </row>
    <row r="155" spans="1:20">
      <c r="A155" s="29" t="s">
        <v>231</v>
      </c>
      <c r="B155" s="33" t="str">
        <f t="shared" si="16"/>
        <v>06-26</v>
      </c>
      <c r="C155" s="30">
        <v>46176</v>
      </c>
      <c r="D155" s="31" t="str">
        <f t="shared" si="17"/>
        <v>Hyderabad</v>
      </c>
      <c r="E155" s="29" t="s">
        <v>63</v>
      </c>
      <c r="F155" s="29" t="str">
        <f t="shared" si="18"/>
        <v>Hyderabad</v>
      </c>
      <c r="G155" s="29" t="s">
        <v>63</v>
      </c>
      <c r="H155" s="29" t="str">
        <f t="shared" si="19"/>
        <v>Premium</v>
      </c>
      <c r="I155" s="29" t="s">
        <v>49</v>
      </c>
      <c r="J155" s="29" t="str">
        <f t="shared" si="20"/>
        <v>Savings</v>
      </c>
      <c r="K155" s="29" t="s">
        <v>69</v>
      </c>
      <c r="L155" s="29" t="str">
        <f t="shared" si="21"/>
        <v>Transfer</v>
      </c>
      <c r="M155" s="29" t="s">
        <v>83</v>
      </c>
      <c r="N155" s="29" t="str">
        <f t="shared" si="22"/>
        <v>Atm</v>
      </c>
      <c r="O155" s="29" t="s">
        <v>52</v>
      </c>
      <c r="P155" s="32">
        <v>60992.93</v>
      </c>
      <c r="Q155" s="32">
        <v>108.84</v>
      </c>
      <c r="R155" s="32" t="str">
        <f t="shared" si="23"/>
        <v>Completed</v>
      </c>
      <c r="S155" s="29" t="s">
        <v>45</v>
      </c>
      <c r="T155" s="29" t="s">
        <v>70</v>
      </c>
    </row>
    <row r="156" spans="1:20">
      <c r="A156" s="29" t="s">
        <v>232</v>
      </c>
      <c r="B156" s="33" t="str">
        <f t="shared" si="16"/>
        <v>07-25</v>
      </c>
      <c r="C156" s="30">
        <v>45859</v>
      </c>
      <c r="D156" s="31" t="str">
        <f t="shared" si="17"/>
        <v>Larkana</v>
      </c>
      <c r="E156" s="29" t="s">
        <v>48</v>
      </c>
      <c r="F156" s="29" t="str">
        <f t="shared" si="18"/>
        <v>Larkana</v>
      </c>
      <c r="G156" s="29" t="s">
        <v>48</v>
      </c>
      <c r="H156" s="29" t="str">
        <f t="shared" si="19"/>
        <v>Retail</v>
      </c>
      <c r="I156" s="29" t="s">
        <v>77</v>
      </c>
      <c r="J156" s="29" t="str">
        <f t="shared" si="20"/>
        <v>Salary</v>
      </c>
      <c r="K156" s="29" t="s">
        <v>56</v>
      </c>
      <c r="L156" s="29" t="str">
        <f t="shared" si="21"/>
        <v>Bill Payment</v>
      </c>
      <c r="M156" s="29" t="s">
        <v>51</v>
      </c>
      <c r="N156" s="29" t="str">
        <f t="shared" si="22"/>
        <v>Branch</v>
      </c>
      <c r="O156" s="29" t="s">
        <v>30</v>
      </c>
      <c r="P156" s="32">
        <v>15456.24</v>
      </c>
      <c r="Q156" s="32">
        <v>18.32</v>
      </c>
      <c r="R156" s="32" t="str">
        <f t="shared" si="23"/>
        <v>Completed</v>
      </c>
      <c r="S156" s="29" t="s">
        <v>45</v>
      </c>
      <c r="T156" s="29" t="s">
        <v>65</v>
      </c>
    </row>
    <row r="157" spans="1:20">
      <c r="A157" s="29" t="s">
        <v>233</v>
      </c>
      <c r="B157" s="33" t="str">
        <f t="shared" si="16"/>
        <v>03-25</v>
      </c>
      <c r="C157" s="30">
        <v>45725</v>
      </c>
      <c r="D157" s="31" t="str">
        <f t="shared" si="17"/>
        <v>Larkana</v>
      </c>
      <c r="E157" s="29" t="s">
        <v>48</v>
      </c>
      <c r="F157" s="29" t="str">
        <f t="shared" si="18"/>
        <v>Larkana</v>
      </c>
      <c r="G157" s="29" t="s">
        <v>48</v>
      </c>
      <c r="H157" s="29" t="str">
        <f t="shared" si="19"/>
        <v>Corporate</v>
      </c>
      <c r="I157" s="29" t="s">
        <v>64</v>
      </c>
      <c r="J157" s="29" t="str">
        <f t="shared" si="20"/>
        <v>Salary</v>
      </c>
      <c r="K157" s="29" t="s">
        <v>56</v>
      </c>
      <c r="L157" s="29" t="str">
        <f t="shared" si="21"/>
        <v>Deposit</v>
      </c>
      <c r="M157" s="29" t="s">
        <v>43</v>
      </c>
      <c r="N157" s="29" t="str">
        <f t="shared" si="22"/>
        <v>Internet Banking</v>
      </c>
      <c r="O157" s="29" t="s">
        <v>78</v>
      </c>
      <c r="P157" s="32">
        <v>29890.39</v>
      </c>
      <c r="Q157" s="32">
        <v>0</v>
      </c>
      <c r="R157" s="32" t="str">
        <f t="shared" si="23"/>
        <v>Completed</v>
      </c>
      <c r="S157" s="29" t="s">
        <v>45</v>
      </c>
      <c r="T157" s="29" t="s">
        <v>57</v>
      </c>
    </row>
    <row r="158" spans="1:20">
      <c r="A158" s="29" t="s">
        <v>234</v>
      </c>
      <c r="B158" s="33" t="str">
        <f t="shared" si="16"/>
        <v>04-26</v>
      </c>
      <c r="C158" s="30">
        <v>46117</v>
      </c>
      <c r="D158" s="31" t="str">
        <f t="shared" si="17"/>
        <v>Sukher</v>
      </c>
      <c r="E158" s="29" t="s">
        <v>408</v>
      </c>
      <c r="F158" s="29" t="str">
        <f t="shared" si="18"/>
        <v>Sukher</v>
      </c>
      <c r="G158" s="29" t="s">
        <v>408</v>
      </c>
      <c r="H158" s="29" t="str">
        <f t="shared" si="19"/>
        <v>Corporate</v>
      </c>
      <c r="I158" s="29" t="s">
        <v>64</v>
      </c>
      <c r="J158" s="29" t="str">
        <f t="shared" si="20"/>
        <v>Current</v>
      </c>
      <c r="K158" s="29" t="s">
        <v>50</v>
      </c>
      <c r="L158" s="29" t="str">
        <f t="shared" si="21"/>
        <v>Withdrawal</v>
      </c>
      <c r="M158" s="29" t="s">
        <v>60</v>
      </c>
      <c r="N158" s="29" t="str">
        <f t="shared" si="22"/>
        <v>Branch</v>
      </c>
      <c r="O158" s="29" t="s">
        <v>30</v>
      </c>
      <c r="P158" s="32">
        <v>11620.9</v>
      </c>
      <c r="Q158" s="32">
        <v>0</v>
      </c>
      <c r="R158" s="32" t="str">
        <f t="shared" si="23"/>
        <v>Completed</v>
      </c>
      <c r="S158" s="29" t="s">
        <v>45</v>
      </c>
      <c r="T158" s="29" t="s">
        <v>46</v>
      </c>
    </row>
    <row r="159" spans="1:20">
      <c r="A159" s="29" t="s">
        <v>235</v>
      </c>
      <c r="B159" s="33" t="str">
        <f t="shared" si="16"/>
        <v>07-25</v>
      </c>
      <c r="C159" s="30">
        <v>45842</v>
      </c>
      <c r="D159" s="31" t="str">
        <f t="shared" si="17"/>
        <v>Hyderabad</v>
      </c>
      <c r="E159" s="29" t="s">
        <v>63</v>
      </c>
      <c r="F159" s="29" t="str">
        <f t="shared" si="18"/>
        <v>Hyderabad</v>
      </c>
      <c r="G159" s="29" t="s">
        <v>63</v>
      </c>
      <c r="H159" s="29" t="str">
        <f t="shared" si="19"/>
        <v>Premium</v>
      </c>
      <c r="I159" s="29" t="s">
        <v>49</v>
      </c>
      <c r="J159" s="29" t="str">
        <f t="shared" si="20"/>
        <v>Savings</v>
      </c>
      <c r="K159" s="29" t="s">
        <v>69</v>
      </c>
      <c r="L159" s="29" t="str">
        <f t="shared" si="21"/>
        <v>Deposit</v>
      </c>
      <c r="M159" s="29" t="s">
        <v>43</v>
      </c>
      <c r="N159" s="29" t="str">
        <f t="shared" si="22"/>
        <v>Atm</v>
      </c>
      <c r="O159" s="29" t="s">
        <v>52</v>
      </c>
      <c r="P159" s="32">
        <v>3311.19</v>
      </c>
      <c r="Q159" s="32">
        <v>0</v>
      </c>
      <c r="R159" s="32" t="str">
        <f t="shared" si="23"/>
        <v>Completed</v>
      </c>
      <c r="S159" s="29" t="s">
        <v>45</v>
      </c>
      <c r="T159" s="29" t="s">
        <v>70</v>
      </c>
    </row>
    <row r="160" spans="1:20">
      <c r="A160" s="29" t="s">
        <v>236</v>
      </c>
      <c r="B160" s="33" t="str">
        <f t="shared" si="16"/>
        <v>07-25</v>
      </c>
      <c r="C160" s="30">
        <v>45860</v>
      </c>
      <c r="D160" s="31" t="str">
        <f t="shared" si="17"/>
        <v>Hyderabad</v>
      </c>
      <c r="E160" s="29" t="s">
        <v>63</v>
      </c>
      <c r="F160" s="29" t="str">
        <f t="shared" si="18"/>
        <v>Hyderabad</v>
      </c>
      <c r="G160" s="29" t="s">
        <v>63</v>
      </c>
      <c r="H160" s="29" t="str">
        <f t="shared" si="19"/>
        <v>Corporate</v>
      </c>
      <c r="I160" s="29" t="s">
        <v>64</v>
      </c>
      <c r="J160" s="29" t="str">
        <f t="shared" si="20"/>
        <v>Salary</v>
      </c>
      <c r="K160" s="29" t="s">
        <v>56</v>
      </c>
      <c r="L160" s="29" t="str">
        <f t="shared" si="21"/>
        <v>Deposit</v>
      </c>
      <c r="M160" s="29" t="s">
        <v>43</v>
      </c>
      <c r="N160" s="29" t="str">
        <f t="shared" si="22"/>
        <v>Branch</v>
      </c>
      <c r="O160" s="29" t="s">
        <v>30</v>
      </c>
      <c r="P160" s="32">
        <v>101013.94</v>
      </c>
      <c r="Q160" s="32">
        <v>0</v>
      </c>
      <c r="R160" s="32" t="str">
        <f t="shared" si="23"/>
        <v>Completed</v>
      </c>
      <c r="S160" s="29" t="s">
        <v>45</v>
      </c>
      <c r="T160" s="29" t="s">
        <v>75</v>
      </c>
    </row>
    <row r="161" spans="1:20">
      <c r="A161" s="29" t="s">
        <v>237</v>
      </c>
      <c r="B161" s="33" t="str">
        <f t="shared" si="16"/>
        <v>10-26</v>
      </c>
      <c r="C161" s="30">
        <v>46299</v>
      </c>
      <c r="D161" s="31" t="str">
        <f t="shared" si="17"/>
        <v>Sukher</v>
      </c>
      <c r="E161" s="29" t="s">
        <v>408</v>
      </c>
      <c r="F161" s="29" t="str">
        <f t="shared" si="18"/>
        <v>Sukher</v>
      </c>
      <c r="G161" s="29" t="s">
        <v>408</v>
      </c>
      <c r="H161" s="29" t="str">
        <f t="shared" si="19"/>
        <v>Retail</v>
      </c>
      <c r="I161" s="29" t="s">
        <v>77</v>
      </c>
      <c r="J161" s="29" t="str">
        <f t="shared" si="20"/>
        <v>Savings</v>
      </c>
      <c r="K161" s="29" t="s">
        <v>69</v>
      </c>
      <c r="L161" s="29" t="str">
        <f t="shared" si="21"/>
        <v>Deposit</v>
      </c>
      <c r="M161" s="29" t="s">
        <v>43</v>
      </c>
      <c r="N161" s="29" t="str">
        <f t="shared" si="22"/>
        <v>Mobile App</v>
      </c>
      <c r="O161" s="29" t="s">
        <v>44</v>
      </c>
      <c r="P161" s="32">
        <v>25501.86</v>
      </c>
      <c r="Q161" s="32">
        <v>0</v>
      </c>
      <c r="R161" s="32" t="str">
        <f t="shared" si="23"/>
        <v>Completed</v>
      </c>
      <c r="S161" s="29" t="s">
        <v>45</v>
      </c>
      <c r="T161" s="29" t="s">
        <v>46</v>
      </c>
    </row>
    <row r="162" spans="1:20">
      <c r="A162" s="29" t="s">
        <v>238</v>
      </c>
      <c r="B162" s="33" t="str">
        <f t="shared" si="16"/>
        <v>01-25</v>
      </c>
      <c r="C162" s="30">
        <v>45674</v>
      </c>
      <c r="D162" s="31" t="str">
        <f t="shared" si="17"/>
        <v>Hyderabad</v>
      </c>
      <c r="E162" s="29" t="s">
        <v>63</v>
      </c>
      <c r="F162" s="29" t="str">
        <f t="shared" si="18"/>
        <v>Hyderabad</v>
      </c>
      <c r="G162" s="29" t="s">
        <v>63</v>
      </c>
      <c r="H162" s="29" t="str">
        <f t="shared" si="19"/>
        <v>Retail</v>
      </c>
      <c r="I162" s="29" t="s">
        <v>77</v>
      </c>
      <c r="J162" s="29" t="str">
        <f t="shared" si="20"/>
        <v>Current</v>
      </c>
      <c r="K162" s="29" t="s">
        <v>50</v>
      </c>
      <c r="L162" s="29" t="str">
        <f t="shared" si="21"/>
        <v>Bill Payment</v>
      </c>
      <c r="M162" s="29" t="s">
        <v>51</v>
      </c>
      <c r="N162" s="29" t="str">
        <f t="shared" si="22"/>
        <v>Branch</v>
      </c>
      <c r="O162" s="29" t="s">
        <v>30</v>
      </c>
      <c r="P162" s="32">
        <v>26019.52</v>
      </c>
      <c r="Q162" s="32">
        <v>77.81</v>
      </c>
      <c r="R162" s="32" t="str">
        <f t="shared" si="23"/>
        <v>Completed</v>
      </c>
      <c r="S162" s="29" t="s">
        <v>45</v>
      </c>
      <c r="T162" s="29" t="s">
        <v>70</v>
      </c>
    </row>
    <row r="163" spans="1:20">
      <c r="A163" s="29" t="s">
        <v>239</v>
      </c>
      <c r="B163" s="33" t="str">
        <f t="shared" si="16"/>
        <v>07-25</v>
      </c>
      <c r="C163" s="30">
        <v>45853</v>
      </c>
      <c r="D163" s="31" t="str">
        <f t="shared" si="17"/>
        <v>Sukher</v>
      </c>
      <c r="E163" s="29" t="s">
        <v>408</v>
      </c>
      <c r="F163" s="29" t="str">
        <f t="shared" si="18"/>
        <v>Sukher</v>
      </c>
      <c r="G163" s="29" t="s">
        <v>408</v>
      </c>
      <c r="H163" s="29" t="str">
        <f t="shared" si="19"/>
        <v>Retail</v>
      </c>
      <c r="I163" s="29" t="s">
        <v>77</v>
      </c>
      <c r="J163" s="29" t="str">
        <f t="shared" si="20"/>
        <v>Salary</v>
      </c>
      <c r="K163" s="29" t="s">
        <v>56</v>
      </c>
      <c r="L163" s="29" t="str">
        <f t="shared" si="21"/>
        <v>Bill Payment</v>
      </c>
      <c r="M163" s="29" t="s">
        <v>51</v>
      </c>
      <c r="N163" s="29" t="str">
        <f t="shared" si="22"/>
        <v>Branch</v>
      </c>
      <c r="O163" s="29" t="s">
        <v>30</v>
      </c>
      <c r="P163" s="32">
        <v>25762.43</v>
      </c>
      <c r="Q163" s="32">
        <v>18.95</v>
      </c>
      <c r="R163" s="32" t="str">
        <f t="shared" si="23"/>
        <v>Completed</v>
      </c>
      <c r="S163" s="29" t="s">
        <v>45</v>
      </c>
      <c r="T163" s="29" t="s">
        <v>75</v>
      </c>
    </row>
    <row r="164" spans="1:20">
      <c r="A164" s="29" t="s">
        <v>240</v>
      </c>
      <c r="B164" s="33" t="str">
        <f t="shared" si="16"/>
        <v>03-26</v>
      </c>
      <c r="C164" s="30">
        <v>46088</v>
      </c>
      <c r="D164" s="31" t="str">
        <f t="shared" si="17"/>
        <v>Hyderabad</v>
      </c>
      <c r="E164" s="29" t="s">
        <v>63</v>
      </c>
      <c r="F164" s="29" t="str">
        <f t="shared" si="18"/>
        <v>Hyderabad</v>
      </c>
      <c r="G164" s="29" t="s">
        <v>63</v>
      </c>
      <c r="H164" s="29" t="str">
        <f t="shared" si="19"/>
        <v>Retail</v>
      </c>
      <c r="I164" s="29" t="s">
        <v>77</v>
      </c>
      <c r="J164" s="29" t="str">
        <f t="shared" si="20"/>
        <v>Salary</v>
      </c>
      <c r="K164" s="29" t="s">
        <v>56</v>
      </c>
      <c r="L164" s="29" t="str">
        <f t="shared" si="21"/>
        <v>Transfer</v>
      </c>
      <c r="M164" s="29" t="s">
        <v>83</v>
      </c>
      <c r="N164" s="29" t="str">
        <f t="shared" si="22"/>
        <v>Branch</v>
      </c>
      <c r="O164" s="29" t="s">
        <v>30</v>
      </c>
      <c r="P164" s="32">
        <v>142256.57999999999</v>
      </c>
      <c r="Q164" s="32">
        <v>53.38</v>
      </c>
      <c r="R164" s="32" t="str">
        <f t="shared" si="23"/>
        <v>Completed</v>
      </c>
      <c r="S164" s="29" t="s">
        <v>45</v>
      </c>
      <c r="T164" s="29" t="s">
        <v>57</v>
      </c>
    </row>
    <row r="165" spans="1:20">
      <c r="A165" s="29" t="s">
        <v>241</v>
      </c>
      <c r="B165" s="33" t="str">
        <f t="shared" si="16"/>
        <v>03-25</v>
      </c>
      <c r="C165" s="30">
        <v>45724</v>
      </c>
      <c r="D165" s="31" t="str">
        <f t="shared" si="17"/>
        <v>Nawabshah</v>
      </c>
      <c r="E165" s="29" t="s">
        <v>67</v>
      </c>
      <c r="F165" s="29" t="str">
        <f t="shared" si="18"/>
        <v>Shaheed Benazirabad</v>
      </c>
      <c r="G165" s="29" t="s">
        <v>68</v>
      </c>
      <c r="H165" s="29" t="str">
        <f t="shared" si="19"/>
        <v>Retail</v>
      </c>
      <c r="I165" s="29" t="s">
        <v>77</v>
      </c>
      <c r="J165" s="29" t="str">
        <f t="shared" si="20"/>
        <v>Savings</v>
      </c>
      <c r="K165" s="29" t="s">
        <v>69</v>
      </c>
      <c r="L165" s="29" t="str">
        <f t="shared" si="21"/>
        <v>Deposit</v>
      </c>
      <c r="M165" s="29" t="s">
        <v>43</v>
      </c>
      <c r="N165" s="29" t="str">
        <f t="shared" si="22"/>
        <v>Atm</v>
      </c>
      <c r="O165" s="29" t="s">
        <v>52</v>
      </c>
      <c r="P165" s="32">
        <v>1041.99</v>
      </c>
      <c r="Q165" s="32">
        <v>0</v>
      </c>
      <c r="R165" s="32" t="str">
        <f t="shared" si="23"/>
        <v>Pending</v>
      </c>
      <c r="S165" s="29" t="s">
        <v>84</v>
      </c>
      <c r="T165" s="29" t="s">
        <v>46</v>
      </c>
    </row>
    <row r="166" spans="1:20">
      <c r="A166" s="29" t="s">
        <v>242</v>
      </c>
      <c r="B166" s="33" t="str">
        <f t="shared" si="16"/>
        <v>02-25</v>
      </c>
      <c r="C166" s="30">
        <v>45697</v>
      </c>
      <c r="D166" s="31" t="str">
        <f t="shared" si="17"/>
        <v>Karachi Main</v>
      </c>
      <c r="E166" s="29" t="s">
        <v>73</v>
      </c>
      <c r="F166" s="29" t="str">
        <f t="shared" si="18"/>
        <v>Karachi</v>
      </c>
      <c r="G166" s="29" t="s">
        <v>74</v>
      </c>
      <c r="H166" s="29" t="str">
        <f t="shared" si="19"/>
        <v>Premium</v>
      </c>
      <c r="I166" s="29" t="s">
        <v>49</v>
      </c>
      <c r="J166" s="29" t="str">
        <f t="shared" si="20"/>
        <v>Salary</v>
      </c>
      <c r="K166" s="29" t="s">
        <v>56</v>
      </c>
      <c r="L166" s="29" t="str">
        <f t="shared" si="21"/>
        <v>Bill Payment</v>
      </c>
      <c r="M166" s="29" t="s">
        <v>51</v>
      </c>
      <c r="N166" s="29" t="str">
        <f t="shared" si="22"/>
        <v>Internet Banking</v>
      </c>
      <c r="O166" s="29" t="s">
        <v>78</v>
      </c>
      <c r="P166" s="32">
        <v>28546.38</v>
      </c>
      <c r="Q166" s="32">
        <v>60.66</v>
      </c>
      <c r="R166" s="32" t="str">
        <f t="shared" si="23"/>
        <v>Completed</v>
      </c>
      <c r="S166" s="29" t="s">
        <v>45</v>
      </c>
      <c r="T166" s="29" t="s">
        <v>65</v>
      </c>
    </row>
    <row r="167" spans="1:20">
      <c r="A167" s="29" t="s">
        <v>243</v>
      </c>
      <c r="B167" s="33" t="str">
        <f t="shared" si="16"/>
        <v>09-26</v>
      </c>
      <c r="C167" s="30">
        <v>46290</v>
      </c>
      <c r="D167" s="31" t="str">
        <f t="shared" si="17"/>
        <v>Hyderabad</v>
      </c>
      <c r="E167" s="29" t="s">
        <v>63</v>
      </c>
      <c r="F167" s="29" t="str">
        <f t="shared" si="18"/>
        <v>Hyderabad</v>
      </c>
      <c r="G167" s="29" t="s">
        <v>63</v>
      </c>
      <c r="H167" s="29" t="str">
        <f t="shared" si="19"/>
        <v>Premium</v>
      </c>
      <c r="I167" s="29" t="s">
        <v>49</v>
      </c>
      <c r="J167" s="29" t="str">
        <f t="shared" si="20"/>
        <v>Savings</v>
      </c>
      <c r="K167" s="29" t="s">
        <v>69</v>
      </c>
      <c r="L167" s="29" t="str">
        <f t="shared" si="21"/>
        <v>Transfer</v>
      </c>
      <c r="M167" s="29" t="s">
        <v>83</v>
      </c>
      <c r="N167" s="29" t="str">
        <f t="shared" si="22"/>
        <v>Atm</v>
      </c>
      <c r="O167" s="29" t="s">
        <v>52</v>
      </c>
      <c r="P167" s="32">
        <v>138003.95000000001</v>
      </c>
      <c r="Q167" s="32">
        <v>143.22999999999999</v>
      </c>
      <c r="R167" s="32" t="str">
        <f t="shared" si="23"/>
        <v>Completed</v>
      </c>
      <c r="S167" s="29" t="s">
        <v>45</v>
      </c>
      <c r="T167" s="29" t="s">
        <v>65</v>
      </c>
    </row>
    <row r="168" spans="1:20">
      <c r="A168" s="29" t="s">
        <v>244</v>
      </c>
      <c r="B168" s="33" t="str">
        <f t="shared" si="16"/>
        <v>01-25</v>
      </c>
      <c r="C168" s="30">
        <v>45662</v>
      </c>
      <c r="D168" s="31" t="str">
        <f t="shared" si="17"/>
        <v>Larkana</v>
      </c>
      <c r="E168" s="29" t="s">
        <v>48</v>
      </c>
      <c r="F168" s="29" t="str">
        <f t="shared" si="18"/>
        <v>Larkana</v>
      </c>
      <c r="G168" s="29" t="s">
        <v>48</v>
      </c>
      <c r="H168" s="29" t="str">
        <f t="shared" si="19"/>
        <v>Corporate</v>
      </c>
      <c r="I168" s="29" t="s">
        <v>64</v>
      </c>
      <c r="J168" s="29" t="str">
        <f t="shared" si="20"/>
        <v>Savings</v>
      </c>
      <c r="K168" s="29" t="s">
        <v>69</v>
      </c>
      <c r="L168" s="29" t="str">
        <f t="shared" si="21"/>
        <v>Transfer</v>
      </c>
      <c r="M168" s="29" t="s">
        <v>83</v>
      </c>
      <c r="N168" s="29" t="str">
        <f t="shared" si="22"/>
        <v>Mobile App</v>
      </c>
      <c r="O168" s="29" t="s">
        <v>61</v>
      </c>
      <c r="P168" s="32">
        <v>156988.45000000001</v>
      </c>
      <c r="Q168" s="32">
        <v>161.76</v>
      </c>
      <c r="R168" s="32" t="str">
        <f t="shared" si="23"/>
        <v>Completed</v>
      </c>
      <c r="S168" s="29" t="s">
        <v>45</v>
      </c>
      <c r="T168" s="29" t="s">
        <v>53</v>
      </c>
    </row>
    <row r="169" spans="1:20">
      <c r="A169" s="29" t="s">
        <v>245</v>
      </c>
      <c r="B169" s="33" t="str">
        <f t="shared" si="16"/>
        <v>01-25</v>
      </c>
      <c r="C169" s="30">
        <v>45682</v>
      </c>
      <c r="D169" s="31" t="str">
        <f t="shared" si="17"/>
        <v>Larkana</v>
      </c>
      <c r="E169" s="29" t="s">
        <v>48</v>
      </c>
      <c r="F169" s="29" t="str">
        <f t="shared" si="18"/>
        <v>Larkana</v>
      </c>
      <c r="G169" s="29" t="s">
        <v>48</v>
      </c>
      <c r="H169" s="29" t="str">
        <f t="shared" si="19"/>
        <v>Sme</v>
      </c>
      <c r="I169" s="29" t="s">
        <v>55</v>
      </c>
      <c r="J169" s="29" t="str">
        <f t="shared" si="20"/>
        <v>Salary</v>
      </c>
      <c r="K169" s="29" t="s">
        <v>56</v>
      </c>
      <c r="L169" s="29" t="str">
        <f t="shared" si="21"/>
        <v>Transfer</v>
      </c>
      <c r="M169" s="29" t="s">
        <v>83</v>
      </c>
      <c r="N169" s="29" t="str">
        <f t="shared" si="22"/>
        <v>Mobile App</v>
      </c>
      <c r="O169" s="29" t="s">
        <v>61</v>
      </c>
      <c r="P169" s="32">
        <v>45513.79</v>
      </c>
      <c r="Q169" s="32">
        <v>96.58</v>
      </c>
      <c r="R169" s="32" t="str">
        <f t="shared" si="23"/>
        <v>Completed</v>
      </c>
      <c r="S169" s="29" t="s">
        <v>45</v>
      </c>
      <c r="T169" s="29" t="s">
        <v>53</v>
      </c>
    </row>
    <row r="170" spans="1:20">
      <c r="A170" s="29" t="s">
        <v>246</v>
      </c>
      <c r="B170" s="33" t="str">
        <f t="shared" si="16"/>
        <v>09-26</v>
      </c>
      <c r="C170" s="30">
        <v>46288</v>
      </c>
      <c r="D170" s="31" t="str">
        <f t="shared" si="17"/>
        <v>Sukher</v>
      </c>
      <c r="E170" s="29" t="s">
        <v>408</v>
      </c>
      <c r="F170" s="29" t="str">
        <f t="shared" si="18"/>
        <v>Sukher</v>
      </c>
      <c r="G170" s="29" t="s">
        <v>408</v>
      </c>
      <c r="H170" s="29" t="str">
        <f t="shared" si="19"/>
        <v>Corporate</v>
      </c>
      <c r="I170" s="29" t="s">
        <v>64</v>
      </c>
      <c r="J170" s="29" t="str">
        <f t="shared" si="20"/>
        <v>Current</v>
      </c>
      <c r="K170" s="29" t="s">
        <v>50</v>
      </c>
      <c r="L170" s="29" t="str">
        <f t="shared" si="21"/>
        <v>Transfer</v>
      </c>
      <c r="M170" s="29" t="s">
        <v>83</v>
      </c>
      <c r="N170" s="29" t="str">
        <f t="shared" si="22"/>
        <v>Internet Banking</v>
      </c>
      <c r="O170" s="29" t="s">
        <v>78</v>
      </c>
      <c r="P170" s="32">
        <v>55566.51</v>
      </c>
      <c r="Q170" s="32">
        <v>74.38</v>
      </c>
      <c r="R170" s="32" t="str">
        <f t="shared" si="23"/>
        <v>Pending</v>
      </c>
      <c r="S170" s="29" t="s">
        <v>84</v>
      </c>
      <c r="T170" s="29" t="s">
        <v>70</v>
      </c>
    </row>
    <row r="171" spans="1:20">
      <c r="A171" s="29" t="s">
        <v>247</v>
      </c>
      <c r="B171" s="33" t="str">
        <f t="shared" si="16"/>
        <v>12-25</v>
      </c>
      <c r="C171" s="30">
        <v>46015</v>
      </c>
      <c r="D171" s="31" t="str">
        <f t="shared" si="17"/>
        <v>Hyderabad</v>
      </c>
      <c r="E171" s="29" t="s">
        <v>63</v>
      </c>
      <c r="F171" s="29" t="str">
        <f t="shared" si="18"/>
        <v>Hyderabad</v>
      </c>
      <c r="G171" s="29" t="s">
        <v>63</v>
      </c>
      <c r="H171" s="29" t="str">
        <f t="shared" si="19"/>
        <v>Premium</v>
      </c>
      <c r="I171" s="29" t="s">
        <v>49</v>
      </c>
      <c r="J171" s="29" t="str">
        <f t="shared" si="20"/>
        <v>Current</v>
      </c>
      <c r="K171" s="29" t="s">
        <v>50</v>
      </c>
      <c r="L171" s="29" t="str">
        <f t="shared" si="21"/>
        <v>Deposit</v>
      </c>
      <c r="M171" s="29" t="s">
        <v>43</v>
      </c>
      <c r="N171" s="29" t="str">
        <f t="shared" si="22"/>
        <v>Branch</v>
      </c>
      <c r="O171" s="29" t="s">
        <v>30</v>
      </c>
      <c r="P171" s="32">
        <v>73104.59</v>
      </c>
      <c r="Q171" s="32">
        <v>0</v>
      </c>
      <c r="R171" s="32" t="str">
        <f t="shared" si="23"/>
        <v>Completed</v>
      </c>
      <c r="S171" s="29" t="s">
        <v>45</v>
      </c>
      <c r="T171" s="29" t="s">
        <v>46</v>
      </c>
    </row>
    <row r="172" spans="1:20">
      <c r="A172" s="29" t="s">
        <v>248</v>
      </c>
      <c r="B172" s="33" t="str">
        <f t="shared" si="16"/>
        <v>08-25</v>
      </c>
      <c r="C172" s="30">
        <v>45878</v>
      </c>
      <c r="D172" s="31" t="str">
        <f t="shared" si="17"/>
        <v>Nawabshah</v>
      </c>
      <c r="E172" s="29" t="s">
        <v>67</v>
      </c>
      <c r="F172" s="29" t="str">
        <f t="shared" si="18"/>
        <v>Shaheed Benazirabad</v>
      </c>
      <c r="G172" s="29" t="s">
        <v>68</v>
      </c>
      <c r="H172" s="29" t="str">
        <f t="shared" si="19"/>
        <v>Sme</v>
      </c>
      <c r="I172" s="29" t="s">
        <v>55</v>
      </c>
      <c r="J172" s="29" t="str">
        <f t="shared" si="20"/>
        <v>Current</v>
      </c>
      <c r="K172" s="29" t="s">
        <v>50</v>
      </c>
      <c r="L172" s="29" t="str">
        <f t="shared" si="21"/>
        <v>Bill Payment</v>
      </c>
      <c r="M172" s="29" t="s">
        <v>51</v>
      </c>
      <c r="N172" s="29" t="str">
        <f t="shared" si="22"/>
        <v>Branch</v>
      </c>
      <c r="O172" s="29" t="s">
        <v>30</v>
      </c>
      <c r="P172" s="32">
        <v>5333.5</v>
      </c>
      <c r="Q172" s="32">
        <v>33.22</v>
      </c>
      <c r="R172" s="32" t="str">
        <f t="shared" si="23"/>
        <v>Completed</v>
      </c>
      <c r="S172" s="29" t="s">
        <v>45</v>
      </c>
      <c r="T172" s="29" t="s">
        <v>53</v>
      </c>
    </row>
    <row r="173" spans="1:20">
      <c r="A173" s="29" t="s">
        <v>249</v>
      </c>
      <c r="B173" s="33" t="str">
        <f t="shared" si="16"/>
        <v>07-26</v>
      </c>
      <c r="C173" s="30">
        <v>46207</v>
      </c>
      <c r="D173" s="31" t="str">
        <f t="shared" si="17"/>
        <v>Larkana</v>
      </c>
      <c r="E173" s="29" t="s">
        <v>48</v>
      </c>
      <c r="F173" s="29" t="str">
        <f t="shared" si="18"/>
        <v>Larkana</v>
      </c>
      <c r="G173" s="29" t="s">
        <v>48</v>
      </c>
      <c r="H173" s="29" t="str">
        <f t="shared" si="19"/>
        <v>Retail</v>
      </c>
      <c r="I173" s="29" t="s">
        <v>77</v>
      </c>
      <c r="J173" s="29" t="str">
        <f t="shared" si="20"/>
        <v>Salary</v>
      </c>
      <c r="K173" s="29" t="s">
        <v>56</v>
      </c>
      <c r="L173" s="29" t="str">
        <f t="shared" si="21"/>
        <v>Bill Payment</v>
      </c>
      <c r="M173" s="29" t="s">
        <v>51</v>
      </c>
      <c r="N173" s="29" t="str">
        <f t="shared" si="22"/>
        <v>Atm</v>
      </c>
      <c r="O173" s="29" t="s">
        <v>52</v>
      </c>
      <c r="P173" s="32">
        <v>17522.57</v>
      </c>
      <c r="Q173" s="32">
        <v>89.72</v>
      </c>
      <c r="R173" s="32" t="str">
        <f t="shared" si="23"/>
        <v>Completed</v>
      </c>
      <c r="S173" s="29" t="s">
        <v>45</v>
      </c>
      <c r="T173" s="29" t="s">
        <v>53</v>
      </c>
    </row>
    <row r="174" spans="1:20">
      <c r="A174" s="29" t="s">
        <v>250</v>
      </c>
      <c r="B174" s="33" t="str">
        <f t="shared" si="16"/>
        <v>10-25</v>
      </c>
      <c r="C174" s="30">
        <v>45949</v>
      </c>
      <c r="D174" s="31" t="str">
        <f t="shared" si="17"/>
        <v>Karachi Main</v>
      </c>
      <c r="E174" s="29" t="s">
        <v>73</v>
      </c>
      <c r="F174" s="29" t="str">
        <f t="shared" si="18"/>
        <v>Karachi</v>
      </c>
      <c r="G174" s="29" t="s">
        <v>74</v>
      </c>
      <c r="H174" s="29" t="str">
        <f t="shared" si="19"/>
        <v>Retail</v>
      </c>
      <c r="I174" s="29" t="s">
        <v>77</v>
      </c>
      <c r="J174" s="29" t="str">
        <f t="shared" si="20"/>
        <v>Salary</v>
      </c>
      <c r="K174" s="29" t="s">
        <v>56</v>
      </c>
      <c r="L174" s="29" t="str">
        <f t="shared" si="21"/>
        <v>Deposit</v>
      </c>
      <c r="M174" s="29" t="s">
        <v>43</v>
      </c>
      <c r="N174" s="29" t="str">
        <f t="shared" si="22"/>
        <v>Internet Banking</v>
      </c>
      <c r="O174" s="29" t="s">
        <v>78</v>
      </c>
      <c r="P174" s="32">
        <v>87106.25</v>
      </c>
      <c r="Q174" s="32">
        <v>0</v>
      </c>
      <c r="R174" s="32" t="str">
        <f t="shared" si="23"/>
        <v>Completed</v>
      </c>
      <c r="S174" s="29" t="s">
        <v>45</v>
      </c>
      <c r="T174" s="29" t="s">
        <v>70</v>
      </c>
    </row>
    <row r="175" spans="1:20">
      <c r="A175" s="29" t="s">
        <v>251</v>
      </c>
      <c r="B175" s="33" t="str">
        <f t="shared" si="16"/>
        <v>07-25</v>
      </c>
      <c r="C175" s="30">
        <v>45848</v>
      </c>
      <c r="D175" s="31" t="str">
        <f t="shared" si="17"/>
        <v>Hyderabad</v>
      </c>
      <c r="E175" s="29" t="s">
        <v>63</v>
      </c>
      <c r="F175" s="29" t="str">
        <f t="shared" si="18"/>
        <v>Hyderabad</v>
      </c>
      <c r="G175" s="29" t="s">
        <v>63</v>
      </c>
      <c r="H175" s="29" t="str">
        <f t="shared" si="19"/>
        <v>Retail</v>
      </c>
      <c r="I175" s="29" t="s">
        <v>77</v>
      </c>
      <c r="J175" s="29" t="str">
        <f t="shared" si="20"/>
        <v>Savings</v>
      </c>
      <c r="K175" s="29" t="s">
        <v>69</v>
      </c>
      <c r="L175" s="29" t="str">
        <f t="shared" si="21"/>
        <v>Bill Payment</v>
      </c>
      <c r="M175" s="29" t="s">
        <v>51</v>
      </c>
      <c r="N175" s="29" t="str">
        <f t="shared" si="22"/>
        <v>Internet Banking</v>
      </c>
      <c r="O175" s="29" t="s">
        <v>78</v>
      </c>
      <c r="P175" s="32">
        <v>10661.3</v>
      </c>
      <c r="Q175" s="32">
        <v>87.67</v>
      </c>
      <c r="R175" s="32" t="str">
        <f t="shared" si="23"/>
        <v>Completed</v>
      </c>
      <c r="S175" s="29" t="s">
        <v>45</v>
      </c>
      <c r="T175" s="29" t="s">
        <v>70</v>
      </c>
    </row>
    <row r="176" spans="1:20">
      <c r="A176" s="29" t="s">
        <v>252</v>
      </c>
      <c r="B176" s="33" t="str">
        <f t="shared" si="16"/>
        <v>10-26</v>
      </c>
      <c r="C176" s="30">
        <v>46306</v>
      </c>
      <c r="D176" s="31" t="str">
        <f t="shared" si="17"/>
        <v>Hyderabad</v>
      </c>
      <c r="E176" s="29" t="s">
        <v>63</v>
      </c>
      <c r="F176" s="29" t="str">
        <f t="shared" si="18"/>
        <v>Hyderabad</v>
      </c>
      <c r="G176" s="29" t="s">
        <v>63</v>
      </c>
      <c r="H176" s="29" t="str">
        <f t="shared" si="19"/>
        <v>Corporate</v>
      </c>
      <c r="I176" s="29" t="s">
        <v>64</v>
      </c>
      <c r="J176" s="29" t="str">
        <f t="shared" si="20"/>
        <v>Current</v>
      </c>
      <c r="K176" s="29" t="s">
        <v>50</v>
      </c>
      <c r="L176" s="29" t="str">
        <f t="shared" si="21"/>
        <v>Bill Payment</v>
      </c>
      <c r="M176" s="29" t="s">
        <v>51</v>
      </c>
      <c r="N176" s="29" t="str">
        <f t="shared" si="22"/>
        <v>Branch</v>
      </c>
      <c r="O176" s="29" t="s">
        <v>30</v>
      </c>
      <c r="P176" s="32">
        <v>10844.04</v>
      </c>
      <c r="Q176" s="32">
        <v>91.11</v>
      </c>
      <c r="R176" s="32" t="str">
        <f t="shared" si="23"/>
        <v>Completed</v>
      </c>
      <c r="S176" s="29" t="s">
        <v>45</v>
      </c>
      <c r="T176" s="29" t="s">
        <v>53</v>
      </c>
    </row>
    <row r="177" spans="1:20">
      <c r="A177" s="29" t="s">
        <v>253</v>
      </c>
      <c r="B177" s="33" t="str">
        <f t="shared" si="16"/>
        <v>05-25</v>
      </c>
      <c r="C177" s="30">
        <v>45804</v>
      </c>
      <c r="D177" s="31" t="str">
        <f t="shared" si="17"/>
        <v>Nawabshah</v>
      </c>
      <c r="E177" s="29" t="s">
        <v>67</v>
      </c>
      <c r="F177" s="29" t="str">
        <f t="shared" si="18"/>
        <v>Shaheed Benazirabad</v>
      </c>
      <c r="G177" s="29" t="s">
        <v>68</v>
      </c>
      <c r="H177" s="29" t="str">
        <f t="shared" si="19"/>
        <v>Sme</v>
      </c>
      <c r="I177" s="29" t="s">
        <v>55</v>
      </c>
      <c r="J177" s="29" t="str">
        <f t="shared" si="20"/>
        <v>Savings</v>
      </c>
      <c r="K177" s="29" t="s">
        <v>69</v>
      </c>
      <c r="L177" s="29" t="str">
        <f t="shared" si="21"/>
        <v>Transfer</v>
      </c>
      <c r="M177" s="29" t="s">
        <v>83</v>
      </c>
      <c r="N177" s="29" t="str">
        <f t="shared" si="22"/>
        <v>Internet Banking</v>
      </c>
      <c r="O177" s="29" t="s">
        <v>78</v>
      </c>
      <c r="P177" s="32">
        <v>81565.48</v>
      </c>
      <c r="Q177" s="32">
        <v>106.72</v>
      </c>
      <c r="R177" s="32" t="str">
        <f t="shared" si="23"/>
        <v>Completed</v>
      </c>
      <c r="S177" s="29" t="s">
        <v>45</v>
      </c>
      <c r="T177" s="29" t="s">
        <v>46</v>
      </c>
    </row>
    <row r="178" spans="1:20">
      <c r="A178" s="29" t="s">
        <v>254</v>
      </c>
      <c r="B178" s="33" t="str">
        <f t="shared" si="16"/>
        <v>01-25</v>
      </c>
      <c r="C178" s="30">
        <v>45664</v>
      </c>
      <c r="D178" s="31" t="str">
        <f t="shared" si="17"/>
        <v>Sukher</v>
      </c>
      <c r="E178" s="29" t="s">
        <v>408</v>
      </c>
      <c r="F178" s="29" t="str">
        <f t="shared" si="18"/>
        <v>Sukher</v>
      </c>
      <c r="G178" s="29" t="s">
        <v>408</v>
      </c>
      <c r="H178" s="29" t="str">
        <f t="shared" si="19"/>
        <v>Retail</v>
      </c>
      <c r="I178" s="29" t="s">
        <v>77</v>
      </c>
      <c r="J178" s="29" t="str">
        <f t="shared" si="20"/>
        <v>Salary</v>
      </c>
      <c r="K178" s="29" t="s">
        <v>56</v>
      </c>
      <c r="L178" s="29" t="str">
        <f t="shared" si="21"/>
        <v>Transfer</v>
      </c>
      <c r="M178" s="29" t="s">
        <v>83</v>
      </c>
      <c r="N178" s="29" t="str">
        <f t="shared" si="22"/>
        <v>Atm</v>
      </c>
      <c r="O178" s="29" t="s">
        <v>52</v>
      </c>
      <c r="P178" s="32">
        <v>123599.61</v>
      </c>
      <c r="Q178" s="32">
        <v>168.28</v>
      </c>
      <c r="R178" s="32" t="str">
        <f t="shared" si="23"/>
        <v>Completed</v>
      </c>
      <c r="S178" s="29" t="s">
        <v>45</v>
      </c>
      <c r="T178" s="29" t="s">
        <v>70</v>
      </c>
    </row>
    <row r="179" spans="1:20">
      <c r="A179" s="29" t="s">
        <v>255</v>
      </c>
      <c r="B179" s="33" t="str">
        <f t="shared" si="16"/>
        <v>11-26</v>
      </c>
      <c r="C179" s="30">
        <v>46328</v>
      </c>
      <c r="D179" s="31" t="str">
        <f t="shared" si="17"/>
        <v>Larkana</v>
      </c>
      <c r="E179" s="29" t="s">
        <v>48</v>
      </c>
      <c r="F179" s="29" t="str">
        <f t="shared" si="18"/>
        <v>Larkana</v>
      </c>
      <c r="G179" s="29" t="s">
        <v>48</v>
      </c>
      <c r="H179" s="29" t="str">
        <f t="shared" si="19"/>
        <v>Retail</v>
      </c>
      <c r="I179" s="29" t="s">
        <v>77</v>
      </c>
      <c r="J179" s="29" t="str">
        <f t="shared" si="20"/>
        <v>Salary</v>
      </c>
      <c r="K179" s="29" t="s">
        <v>56</v>
      </c>
      <c r="L179" s="29" t="str">
        <f t="shared" si="21"/>
        <v>Bill Payment</v>
      </c>
      <c r="M179" s="29" t="s">
        <v>51</v>
      </c>
      <c r="N179" s="29" t="str">
        <f t="shared" si="22"/>
        <v>Mobile App</v>
      </c>
      <c r="O179" s="29" t="s">
        <v>61</v>
      </c>
      <c r="P179" s="32">
        <v>8446.35</v>
      </c>
      <c r="Q179" s="32">
        <v>94.42</v>
      </c>
      <c r="R179" s="32" t="str">
        <f t="shared" si="23"/>
        <v>Completed</v>
      </c>
      <c r="S179" s="29" t="s">
        <v>45</v>
      </c>
      <c r="T179" s="29" t="s">
        <v>53</v>
      </c>
    </row>
    <row r="180" spans="1:20">
      <c r="A180" s="29" t="s">
        <v>256</v>
      </c>
      <c r="B180" s="33" t="str">
        <f t="shared" si="16"/>
        <v>05-25</v>
      </c>
      <c r="C180" s="30">
        <v>45787</v>
      </c>
      <c r="D180" s="31" t="str">
        <f t="shared" si="17"/>
        <v>Karachi Main</v>
      </c>
      <c r="E180" s="29" t="s">
        <v>73</v>
      </c>
      <c r="F180" s="29" t="str">
        <f t="shared" si="18"/>
        <v>Karachi</v>
      </c>
      <c r="G180" s="29" t="s">
        <v>74</v>
      </c>
      <c r="H180" s="29" t="str">
        <f t="shared" si="19"/>
        <v>Corporate</v>
      </c>
      <c r="I180" s="29" t="s">
        <v>64</v>
      </c>
      <c r="J180" s="29" t="str">
        <f t="shared" si="20"/>
        <v>Current</v>
      </c>
      <c r="K180" s="29" t="s">
        <v>50</v>
      </c>
      <c r="L180" s="29" t="str">
        <f t="shared" si="21"/>
        <v>Withdrawal</v>
      </c>
      <c r="M180" s="29" t="s">
        <v>60</v>
      </c>
      <c r="N180" s="29" t="str">
        <f t="shared" si="22"/>
        <v>Mobile App</v>
      </c>
      <c r="O180" s="29" t="s">
        <v>61</v>
      </c>
      <c r="P180" s="32">
        <v>29228.01</v>
      </c>
      <c r="Q180" s="32">
        <v>0</v>
      </c>
      <c r="R180" s="32" t="str">
        <f t="shared" si="23"/>
        <v>Completed</v>
      </c>
      <c r="S180" s="29" t="s">
        <v>45</v>
      </c>
      <c r="T180" s="29" t="s">
        <v>70</v>
      </c>
    </row>
    <row r="181" spans="1:20">
      <c r="A181" s="29" t="s">
        <v>258</v>
      </c>
      <c r="B181" s="33" t="str">
        <f t="shared" si="16"/>
        <v>08-25</v>
      </c>
      <c r="C181" s="30">
        <v>45881</v>
      </c>
      <c r="D181" s="31" t="str">
        <f t="shared" si="17"/>
        <v>Larkana</v>
      </c>
      <c r="E181" s="29" t="s">
        <v>48</v>
      </c>
      <c r="F181" s="29" t="str">
        <f t="shared" si="18"/>
        <v>Larkana</v>
      </c>
      <c r="G181" s="29" t="s">
        <v>48</v>
      </c>
      <c r="H181" s="29" t="str">
        <f t="shared" si="19"/>
        <v>Premium</v>
      </c>
      <c r="I181" s="29" t="s">
        <v>49</v>
      </c>
      <c r="J181" s="29" t="str">
        <f t="shared" si="20"/>
        <v>Savings</v>
      </c>
      <c r="K181" s="29" t="s">
        <v>69</v>
      </c>
      <c r="L181" s="29" t="str">
        <f t="shared" si="21"/>
        <v>Withdrawal</v>
      </c>
      <c r="M181" s="29" t="s">
        <v>60</v>
      </c>
      <c r="N181" s="29" t="str">
        <f t="shared" si="22"/>
        <v>Branch</v>
      </c>
      <c r="O181" s="29" t="s">
        <v>30</v>
      </c>
      <c r="P181" s="32">
        <v>72780.759999999995</v>
      </c>
      <c r="Q181" s="32">
        <v>0</v>
      </c>
      <c r="R181" s="32" t="str">
        <f t="shared" si="23"/>
        <v>Completed</v>
      </c>
      <c r="S181" s="29" t="s">
        <v>45</v>
      </c>
      <c r="T181" s="29" t="s">
        <v>70</v>
      </c>
    </row>
    <row r="182" spans="1:20">
      <c r="A182" s="29" t="s">
        <v>259</v>
      </c>
      <c r="B182" s="33" t="str">
        <f t="shared" si="16"/>
        <v>08-26</v>
      </c>
      <c r="C182" s="30">
        <v>46252</v>
      </c>
      <c r="D182" s="31" t="str">
        <f t="shared" si="17"/>
        <v>Sukher</v>
      </c>
      <c r="E182" s="29" t="s">
        <v>408</v>
      </c>
      <c r="F182" s="29" t="str">
        <f t="shared" si="18"/>
        <v>Sukher</v>
      </c>
      <c r="G182" s="29" t="s">
        <v>408</v>
      </c>
      <c r="H182" s="29" t="str">
        <f t="shared" si="19"/>
        <v>Premium</v>
      </c>
      <c r="I182" s="29" t="s">
        <v>49</v>
      </c>
      <c r="J182" s="29" t="str">
        <f t="shared" si="20"/>
        <v>Savings</v>
      </c>
      <c r="K182" s="29" t="s">
        <v>69</v>
      </c>
      <c r="L182" s="29" t="str">
        <f t="shared" si="21"/>
        <v>Deposit</v>
      </c>
      <c r="M182" s="29" t="s">
        <v>43</v>
      </c>
      <c r="N182" s="29" t="str">
        <f t="shared" si="22"/>
        <v>Mobile App</v>
      </c>
      <c r="O182" s="29" t="s">
        <v>61</v>
      </c>
      <c r="P182" s="32">
        <v>69741.23</v>
      </c>
      <c r="Q182" s="32">
        <v>0</v>
      </c>
      <c r="R182" s="32" t="str">
        <f t="shared" si="23"/>
        <v>Completed</v>
      </c>
      <c r="S182" s="29" t="s">
        <v>45</v>
      </c>
      <c r="T182" s="29" t="s">
        <v>46</v>
      </c>
    </row>
    <row r="183" spans="1:20">
      <c r="A183" s="29" t="s">
        <v>260</v>
      </c>
      <c r="B183" s="33" t="str">
        <f t="shared" si="16"/>
        <v>11-25</v>
      </c>
      <c r="C183" s="30">
        <v>45978</v>
      </c>
      <c r="D183" s="31" t="str">
        <f t="shared" si="17"/>
        <v>Hyderabad</v>
      </c>
      <c r="E183" s="29" t="s">
        <v>63</v>
      </c>
      <c r="F183" s="29" t="str">
        <f t="shared" si="18"/>
        <v>Hyderabad</v>
      </c>
      <c r="G183" s="29" t="s">
        <v>63</v>
      </c>
      <c r="H183" s="29" t="str">
        <f t="shared" si="19"/>
        <v>Sme</v>
      </c>
      <c r="I183" s="29" t="s">
        <v>55</v>
      </c>
      <c r="J183" s="29" t="str">
        <f t="shared" si="20"/>
        <v>Current</v>
      </c>
      <c r="K183" s="29" t="s">
        <v>50</v>
      </c>
      <c r="L183" s="29" t="str">
        <f t="shared" si="21"/>
        <v>Bill Payment</v>
      </c>
      <c r="M183" s="29" t="s">
        <v>51</v>
      </c>
      <c r="N183" s="29" t="str">
        <f t="shared" si="22"/>
        <v>Branch</v>
      </c>
      <c r="O183" s="29" t="s">
        <v>30</v>
      </c>
      <c r="P183" s="32">
        <v>4444.58</v>
      </c>
      <c r="Q183" s="32">
        <v>95.91</v>
      </c>
      <c r="R183" s="32" t="str">
        <f t="shared" si="23"/>
        <v>Completed</v>
      </c>
      <c r="S183" s="29" t="s">
        <v>45</v>
      </c>
      <c r="T183" s="29" t="s">
        <v>70</v>
      </c>
    </row>
    <row r="184" spans="1:20">
      <c r="A184" s="29" t="s">
        <v>261</v>
      </c>
      <c r="B184" s="33" t="str">
        <f t="shared" si="16"/>
        <v>03-25</v>
      </c>
      <c r="C184" s="30">
        <v>45735</v>
      </c>
      <c r="D184" s="31" t="str">
        <f t="shared" si="17"/>
        <v>Larkana</v>
      </c>
      <c r="E184" s="29" t="s">
        <v>48</v>
      </c>
      <c r="F184" s="29" t="str">
        <f t="shared" si="18"/>
        <v>Larkana</v>
      </c>
      <c r="G184" s="29" t="s">
        <v>48</v>
      </c>
      <c r="H184" s="29" t="str">
        <f t="shared" si="19"/>
        <v>Sme</v>
      </c>
      <c r="I184" s="29" t="s">
        <v>55</v>
      </c>
      <c r="J184" s="29" t="str">
        <f t="shared" si="20"/>
        <v>Current</v>
      </c>
      <c r="K184" s="29" t="s">
        <v>50</v>
      </c>
      <c r="L184" s="29" t="str">
        <f t="shared" si="21"/>
        <v>Transfer</v>
      </c>
      <c r="M184" s="29" t="s">
        <v>83</v>
      </c>
      <c r="N184" s="29" t="str">
        <f t="shared" si="22"/>
        <v>Branch</v>
      </c>
      <c r="O184" s="29" t="s">
        <v>30</v>
      </c>
      <c r="P184" s="32">
        <v>38907.800000000003</v>
      </c>
      <c r="Q184" s="32">
        <v>170.01</v>
      </c>
      <c r="R184" s="32" t="str">
        <f t="shared" si="23"/>
        <v>Completed</v>
      </c>
      <c r="S184" s="29" t="s">
        <v>45</v>
      </c>
      <c r="T184" s="29" t="s">
        <v>46</v>
      </c>
    </row>
    <row r="185" spans="1:20">
      <c r="A185" s="29" t="s">
        <v>262</v>
      </c>
      <c r="B185" s="33" t="str">
        <f t="shared" si="16"/>
        <v>10-26</v>
      </c>
      <c r="C185" s="30">
        <v>46319</v>
      </c>
      <c r="D185" s="31" t="str">
        <f t="shared" si="17"/>
        <v>Hyderabad</v>
      </c>
      <c r="E185" s="29" t="s">
        <v>63</v>
      </c>
      <c r="F185" s="29" t="str">
        <f t="shared" si="18"/>
        <v>Hyderabad</v>
      </c>
      <c r="G185" s="29" t="s">
        <v>63</v>
      </c>
      <c r="H185" s="29" t="str">
        <f t="shared" si="19"/>
        <v>Corporate</v>
      </c>
      <c r="I185" s="29" t="s">
        <v>64</v>
      </c>
      <c r="J185" s="29" t="str">
        <f t="shared" si="20"/>
        <v>Salary</v>
      </c>
      <c r="K185" s="29" t="s">
        <v>56</v>
      </c>
      <c r="L185" s="29" t="str">
        <f t="shared" si="21"/>
        <v>Withdrawal</v>
      </c>
      <c r="M185" s="29" t="s">
        <v>60</v>
      </c>
      <c r="N185" s="29" t="str">
        <f t="shared" si="22"/>
        <v>Internet Banking</v>
      </c>
      <c r="O185" s="29" t="s">
        <v>78</v>
      </c>
      <c r="P185" s="32">
        <v>68170.42</v>
      </c>
      <c r="Q185" s="32">
        <v>0</v>
      </c>
      <c r="R185" s="32" t="str">
        <f t="shared" si="23"/>
        <v>Completed</v>
      </c>
      <c r="S185" s="29" t="s">
        <v>45</v>
      </c>
      <c r="T185" s="29" t="s">
        <v>46</v>
      </c>
    </row>
    <row r="186" spans="1:20">
      <c r="A186" s="29" t="s">
        <v>263</v>
      </c>
      <c r="B186" s="33" t="str">
        <f t="shared" si="16"/>
        <v>11-25</v>
      </c>
      <c r="C186" s="30">
        <v>45989</v>
      </c>
      <c r="D186" s="31" t="str">
        <f t="shared" si="17"/>
        <v>Sukher</v>
      </c>
      <c r="E186" s="29" t="s">
        <v>408</v>
      </c>
      <c r="F186" s="29" t="str">
        <f t="shared" si="18"/>
        <v>Sukher</v>
      </c>
      <c r="G186" s="29" t="s">
        <v>408</v>
      </c>
      <c r="H186" s="29" t="str">
        <f t="shared" si="19"/>
        <v>Sme</v>
      </c>
      <c r="I186" s="29" t="s">
        <v>55</v>
      </c>
      <c r="J186" s="29" t="str">
        <f t="shared" si="20"/>
        <v>Savings</v>
      </c>
      <c r="K186" s="29" t="s">
        <v>69</v>
      </c>
      <c r="L186" s="29" t="str">
        <f t="shared" si="21"/>
        <v>Transfer</v>
      </c>
      <c r="M186" s="29" t="s">
        <v>83</v>
      </c>
      <c r="N186" s="29" t="str">
        <f t="shared" si="22"/>
        <v>Internet Banking</v>
      </c>
      <c r="O186" s="29" t="s">
        <v>78</v>
      </c>
      <c r="P186" s="32">
        <v>97584.88</v>
      </c>
      <c r="Q186" s="32">
        <v>99.88</v>
      </c>
      <c r="R186" s="32" t="str">
        <f t="shared" si="23"/>
        <v>Completed</v>
      </c>
      <c r="S186" s="29" t="s">
        <v>45</v>
      </c>
      <c r="T186" s="29" t="s">
        <v>53</v>
      </c>
    </row>
    <row r="187" spans="1:20">
      <c r="A187" s="29" t="s">
        <v>264</v>
      </c>
      <c r="B187" s="33" t="str">
        <f t="shared" si="16"/>
        <v>10-25</v>
      </c>
      <c r="C187" s="30">
        <v>45935</v>
      </c>
      <c r="D187" s="31" t="str">
        <f t="shared" si="17"/>
        <v>Hyderabad</v>
      </c>
      <c r="E187" s="29" t="s">
        <v>109</v>
      </c>
      <c r="F187" s="29" t="str">
        <f t="shared" si="18"/>
        <v>Hyderabad</v>
      </c>
      <c r="G187" s="29" t="s">
        <v>63</v>
      </c>
      <c r="H187" s="29" t="str">
        <f t="shared" si="19"/>
        <v>Premium</v>
      </c>
      <c r="I187" s="29" t="s">
        <v>49</v>
      </c>
      <c r="J187" s="29" t="str">
        <f t="shared" si="20"/>
        <v>Savings</v>
      </c>
      <c r="K187" s="29" t="s">
        <v>69</v>
      </c>
      <c r="L187" s="29" t="str">
        <f t="shared" si="21"/>
        <v>Withdrawal</v>
      </c>
      <c r="M187" s="29" t="s">
        <v>60</v>
      </c>
      <c r="N187" s="29" t="str">
        <f t="shared" si="22"/>
        <v>Atm</v>
      </c>
      <c r="O187" s="29" t="s">
        <v>52</v>
      </c>
      <c r="P187" s="32">
        <v>27085.82</v>
      </c>
      <c r="Q187" s="32">
        <v>0</v>
      </c>
      <c r="R187" s="32" t="str">
        <f t="shared" si="23"/>
        <v>Completed</v>
      </c>
      <c r="S187" s="29" t="s">
        <v>45</v>
      </c>
      <c r="T187" s="29" t="s">
        <v>70</v>
      </c>
    </row>
    <row r="188" spans="1:20">
      <c r="A188" s="29" t="s">
        <v>265</v>
      </c>
      <c r="B188" s="33" t="str">
        <f t="shared" si="16"/>
        <v>04-26</v>
      </c>
      <c r="C188" s="30">
        <v>46113</v>
      </c>
      <c r="D188" s="31" t="str">
        <f t="shared" si="17"/>
        <v>Sukher</v>
      </c>
      <c r="E188" s="29" t="s">
        <v>408</v>
      </c>
      <c r="F188" s="29" t="str">
        <f t="shared" si="18"/>
        <v>Sukher</v>
      </c>
      <c r="G188" s="29" t="s">
        <v>408</v>
      </c>
      <c r="H188" s="29" t="str">
        <f t="shared" si="19"/>
        <v>Retail</v>
      </c>
      <c r="I188" s="29" t="s">
        <v>77</v>
      </c>
      <c r="J188" s="29" t="str">
        <f t="shared" si="20"/>
        <v>Savings</v>
      </c>
      <c r="K188" s="29" t="s">
        <v>69</v>
      </c>
      <c r="L188" s="29" t="str">
        <f t="shared" si="21"/>
        <v>Deposit</v>
      </c>
      <c r="M188" s="29" t="s">
        <v>43</v>
      </c>
      <c r="N188" s="29" t="str">
        <f t="shared" si="22"/>
        <v>Atm</v>
      </c>
      <c r="O188" s="29" t="s">
        <v>52</v>
      </c>
      <c r="P188" s="32">
        <v>41349.49</v>
      </c>
      <c r="Q188" s="32">
        <v>0</v>
      </c>
      <c r="R188" s="32" t="str">
        <f t="shared" si="23"/>
        <v>Completed</v>
      </c>
      <c r="S188" s="29" t="s">
        <v>45</v>
      </c>
      <c r="T188" s="29" t="s">
        <v>57</v>
      </c>
    </row>
    <row r="189" spans="1:20">
      <c r="A189" s="29" t="s">
        <v>266</v>
      </c>
      <c r="B189" s="33" t="str">
        <f t="shared" si="16"/>
        <v>12-25</v>
      </c>
      <c r="C189" s="30">
        <v>46013</v>
      </c>
      <c r="D189" s="31" t="str">
        <f t="shared" si="17"/>
        <v>Sukher</v>
      </c>
      <c r="E189" s="29" t="s">
        <v>408</v>
      </c>
      <c r="F189" s="29" t="str">
        <f t="shared" si="18"/>
        <v>Sukher</v>
      </c>
      <c r="G189" s="29" t="s">
        <v>408</v>
      </c>
      <c r="H189" s="29" t="str">
        <f t="shared" si="19"/>
        <v>Premium</v>
      </c>
      <c r="I189" s="29" t="s">
        <v>49</v>
      </c>
      <c r="J189" s="29" t="str">
        <f t="shared" si="20"/>
        <v>Savings</v>
      </c>
      <c r="K189" s="29" t="s">
        <v>69</v>
      </c>
      <c r="L189" s="29" t="str">
        <f t="shared" si="21"/>
        <v>Bill Payment</v>
      </c>
      <c r="M189" s="29" t="s">
        <v>51</v>
      </c>
      <c r="N189" s="29" t="str">
        <f t="shared" si="22"/>
        <v>Internet Banking</v>
      </c>
      <c r="O189" s="29" t="s">
        <v>78</v>
      </c>
      <c r="P189" s="32">
        <v>26797.13</v>
      </c>
      <c r="Q189" s="32">
        <v>96.42</v>
      </c>
      <c r="R189" s="32" t="str">
        <f t="shared" si="23"/>
        <v>Completed</v>
      </c>
      <c r="S189" s="29" t="s">
        <v>45</v>
      </c>
      <c r="T189" s="29" t="s">
        <v>46</v>
      </c>
    </row>
    <row r="190" spans="1:20">
      <c r="A190" s="29" t="s">
        <v>267</v>
      </c>
      <c r="B190" s="33" t="str">
        <f t="shared" si="16"/>
        <v>02-25</v>
      </c>
      <c r="C190" s="30">
        <v>45698</v>
      </c>
      <c r="D190" s="31" t="str">
        <f t="shared" si="17"/>
        <v>Sukher</v>
      </c>
      <c r="E190" s="29" t="s">
        <v>408</v>
      </c>
      <c r="F190" s="29" t="str">
        <f t="shared" si="18"/>
        <v>Sukher</v>
      </c>
      <c r="G190" s="29" t="s">
        <v>408</v>
      </c>
      <c r="H190" s="29" t="str">
        <f t="shared" si="19"/>
        <v>Corporate</v>
      </c>
      <c r="I190" s="29" t="s">
        <v>268</v>
      </c>
      <c r="J190" s="29" t="str">
        <f t="shared" si="20"/>
        <v>Current</v>
      </c>
      <c r="K190" s="29" t="s">
        <v>50</v>
      </c>
      <c r="L190" s="29" t="str">
        <f t="shared" si="21"/>
        <v>Deposit</v>
      </c>
      <c r="M190" s="29" t="s">
        <v>43</v>
      </c>
      <c r="N190" s="29" t="str">
        <f t="shared" si="22"/>
        <v>Branch</v>
      </c>
      <c r="O190" s="29" t="s">
        <v>30</v>
      </c>
      <c r="P190" s="32">
        <v>46912.31</v>
      </c>
      <c r="Q190" s="32">
        <v>0</v>
      </c>
      <c r="R190" s="32" t="str">
        <f t="shared" si="23"/>
        <v>Completed</v>
      </c>
      <c r="S190" s="29" t="s">
        <v>45</v>
      </c>
      <c r="T190" s="29" t="s">
        <v>65</v>
      </c>
    </row>
    <row r="191" spans="1:20">
      <c r="A191" s="29" t="s">
        <v>269</v>
      </c>
      <c r="B191" s="33" t="str">
        <f t="shared" si="16"/>
        <v>11-26</v>
      </c>
      <c r="C191" s="30">
        <v>46347</v>
      </c>
      <c r="D191" s="31" t="str">
        <f t="shared" si="17"/>
        <v>Sukher</v>
      </c>
      <c r="E191" s="29" t="s">
        <v>408</v>
      </c>
      <c r="F191" s="29" t="str">
        <f t="shared" si="18"/>
        <v>Sukher</v>
      </c>
      <c r="G191" s="29" t="s">
        <v>408</v>
      </c>
      <c r="H191" s="29" t="str">
        <f t="shared" si="19"/>
        <v>Sme</v>
      </c>
      <c r="I191" s="29" t="s">
        <v>55</v>
      </c>
      <c r="J191" s="29" t="str">
        <f t="shared" si="20"/>
        <v>Current</v>
      </c>
      <c r="K191" s="29" t="s">
        <v>50</v>
      </c>
      <c r="L191" s="29" t="str">
        <f t="shared" si="21"/>
        <v>Deposit</v>
      </c>
      <c r="M191" s="29" t="s">
        <v>43</v>
      </c>
      <c r="N191" s="29" t="str">
        <f t="shared" si="22"/>
        <v>Branch</v>
      </c>
      <c r="O191" s="29" t="s">
        <v>30</v>
      </c>
      <c r="P191" s="32">
        <v>82152.72</v>
      </c>
      <c r="Q191" s="32">
        <v>0</v>
      </c>
      <c r="R191" s="32" t="str">
        <f t="shared" si="23"/>
        <v>Completed</v>
      </c>
      <c r="S191" s="29" t="s">
        <v>45</v>
      </c>
      <c r="T191" s="29" t="s">
        <v>46</v>
      </c>
    </row>
    <row r="192" spans="1:20">
      <c r="A192" s="29" t="s">
        <v>270</v>
      </c>
      <c r="B192" s="33" t="str">
        <f t="shared" si="16"/>
        <v>05-25</v>
      </c>
      <c r="C192" s="30">
        <v>45793</v>
      </c>
      <c r="D192" s="31" t="str">
        <f t="shared" si="17"/>
        <v>Hyderabad</v>
      </c>
      <c r="E192" s="29" t="s">
        <v>63</v>
      </c>
      <c r="F192" s="29" t="str">
        <f t="shared" si="18"/>
        <v>Hyderabad</v>
      </c>
      <c r="G192" s="29" t="s">
        <v>63</v>
      </c>
      <c r="H192" s="29" t="str">
        <f t="shared" si="19"/>
        <v>Premium</v>
      </c>
      <c r="I192" s="29" t="s">
        <v>49</v>
      </c>
      <c r="J192" s="29" t="str">
        <f t="shared" si="20"/>
        <v>Salary</v>
      </c>
      <c r="K192" s="29" t="s">
        <v>56</v>
      </c>
      <c r="L192" s="29" t="str">
        <f t="shared" si="21"/>
        <v>Bill Payment</v>
      </c>
      <c r="M192" s="29" t="s">
        <v>51</v>
      </c>
      <c r="N192" s="29" t="str">
        <f t="shared" si="22"/>
        <v>Mobile App</v>
      </c>
      <c r="O192" s="29" t="s">
        <v>61</v>
      </c>
      <c r="P192" s="32">
        <v>12205.88</v>
      </c>
      <c r="Q192" s="32">
        <v>24.09</v>
      </c>
      <c r="R192" s="32" t="str">
        <f t="shared" si="23"/>
        <v>Completed</v>
      </c>
      <c r="S192" s="29" t="s">
        <v>45</v>
      </c>
      <c r="T192" s="29" t="s">
        <v>65</v>
      </c>
    </row>
    <row r="193" spans="1:20">
      <c r="A193" s="29" t="s">
        <v>271</v>
      </c>
      <c r="B193" s="33" t="str">
        <f t="shared" si="16"/>
        <v>10-25</v>
      </c>
      <c r="C193" s="30">
        <v>45948</v>
      </c>
      <c r="D193" s="31" t="str">
        <f t="shared" si="17"/>
        <v>Larkana</v>
      </c>
      <c r="E193" s="29" t="s">
        <v>48</v>
      </c>
      <c r="F193" s="29" t="str">
        <f t="shared" si="18"/>
        <v>Larkana</v>
      </c>
      <c r="G193" s="29" t="s">
        <v>48</v>
      </c>
      <c r="H193" s="29" t="str">
        <f t="shared" si="19"/>
        <v>Retail</v>
      </c>
      <c r="I193" s="29" t="s">
        <v>77</v>
      </c>
      <c r="J193" s="29" t="str">
        <f t="shared" si="20"/>
        <v>Savings</v>
      </c>
      <c r="K193" s="29" t="s">
        <v>69</v>
      </c>
      <c r="L193" s="29" t="str">
        <f t="shared" si="21"/>
        <v>Transfer</v>
      </c>
      <c r="M193" s="29" t="s">
        <v>83</v>
      </c>
      <c r="N193" s="29" t="str">
        <f t="shared" si="22"/>
        <v>Atm</v>
      </c>
      <c r="O193" s="29" t="s">
        <v>52</v>
      </c>
      <c r="P193" s="32">
        <v>94919.33</v>
      </c>
      <c r="Q193" s="32">
        <v>127.82</v>
      </c>
      <c r="R193" s="32" t="str">
        <f t="shared" si="23"/>
        <v>Completed</v>
      </c>
      <c r="S193" s="29" t="s">
        <v>45</v>
      </c>
      <c r="T193" s="29" t="s">
        <v>57</v>
      </c>
    </row>
    <row r="194" spans="1:20">
      <c r="A194" s="29" t="s">
        <v>272</v>
      </c>
      <c r="B194" s="33" t="str">
        <f t="shared" ref="B194:B257" si="24">TEXT(C:C,"mm-yy")</f>
        <v>03-26</v>
      </c>
      <c r="C194" s="30">
        <v>46082</v>
      </c>
      <c r="D194" s="31" t="str">
        <f t="shared" ref="D194:D257" si="25">PROPER(TRIM(E:E))</f>
        <v>Hyderabad</v>
      </c>
      <c r="E194" s="29" t="s">
        <v>63</v>
      </c>
      <c r="F194" s="29" t="str">
        <f t="shared" ref="F194:F257" si="26">PROPER(TRIM(G:G))</f>
        <v>Hyderabad</v>
      </c>
      <c r="G194" s="29" t="s">
        <v>63</v>
      </c>
      <c r="H194" s="29" t="str">
        <f t="shared" ref="H194:H257" si="27">PROPER(TRIM(I:I))</f>
        <v>Corporate</v>
      </c>
      <c r="I194" s="29" t="s">
        <v>64</v>
      </c>
      <c r="J194" s="29" t="str">
        <f t="shared" ref="J194:J257" si="28">PROPER(TRIM(K:K))</f>
        <v>Salary</v>
      </c>
      <c r="K194" s="29" t="s">
        <v>56</v>
      </c>
      <c r="L194" s="29" t="str">
        <f t="shared" ref="L194:L257" si="29">PROPER(TRIM(M:M))</f>
        <v>Deposit</v>
      </c>
      <c r="M194" s="29" t="s">
        <v>43</v>
      </c>
      <c r="N194" s="29" t="str">
        <f t="shared" ref="N194:N257" si="30">PROPER(TRIM(O:O))</f>
        <v>Atm</v>
      </c>
      <c r="O194" s="29" t="s">
        <v>52</v>
      </c>
      <c r="P194" s="32">
        <v>56099.98</v>
      </c>
      <c r="Q194" s="32">
        <v>0</v>
      </c>
      <c r="R194" s="32" t="str">
        <f t="shared" ref="R194:R257" si="31">PROPER(TRIM(S:S))</f>
        <v>Completed</v>
      </c>
      <c r="S194" s="29" t="s">
        <v>45</v>
      </c>
      <c r="T194" s="29" t="s">
        <v>70</v>
      </c>
    </row>
    <row r="195" spans="1:20">
      <c r="A195" s="29" t="s">
        <v>273</v>
      </c>
      <c r="B195" s="33" t="str">
        <f t="shared" si="24"/>
        <v>10-25</v>
      </c>
      <c r="C195" s="30">
        <v>45955</v>
      </c>
      <c r="D195" s="31" t="str">
        <f t="shared" si="25"/>
        <v>Karachi Main</v>
      </c>
      <c r="E195" s="29" t="s">
        <v>73</v>
      </c>
      <c r="F195" s="29" t="str">
        <f t="shared" si="26"/>
        <v>Karachi</v>
      </c>
      <c r="G195" s="29" t="s">
        <v>74</v>
      </c>
      <c r="H195" s="29" t="str">
        <f t="shared" si="27"/>
        <v>Corporate</v>
      </c>
      <c r="I195" s="29" t="s">
        <v>64</v>
      </c>
      <c r="J195" s="29" t="str">
        <f t="shared" si="28"/>
        <v>Current</v>
      </c>
      <c r="K195" s="29" t="s">
        <v>50</v>
      </c>
      <c r="L195" s="29" t="str">
        <f t="shared" si="29"/>
        <v>Transfer</v>
      </c>
      <c r="M195" s="29" t="s">
        <v>83</v>
      </c>
      <c r="N195" s="29" t="str">
        <f t="shared" si="30"/>
        <v>Mobile App</v>
      </c>
      <c r="O195" s="29" t="s">
        <v>61</v>
      </c>
      <c r="P195" s="32">
        <v>158572.91</v>
      </c>
      <c r="Q195" s="32">
        <v>147.21</v>
      </c>
      <c r="R195" s="32" t="str">
        <f t="shared" si="31"/>
        <v>Completed</v>
      </c>
      <c r="S195" s="29" t="s">
        <v>45</v>
      </c>
      <c r="T195" s="29" t="s">
        <v>46</v>
      </c>
    </row>
    <row r="196" spans="1:20">
      <c r="A196" s="29" t="s">
        <v>274</v>
      </c>
      <c r="B196" s="33" t="str">
        <f t="shared" si="24"/>
        <v>03-25</v>
      </c>
      <c r="C196" s="30">
        <v>45724</v>
      </c>
      <c r="D196" s="31" t="str">
        <f t="shared" si="25"/>
        <v>Hyderabad</v>
      </c>
      <c r="E196" s="29" t="s">
        <v>63</v>
      </c>
      <c r="F196" s="29" t="str">
        <f t="shared" si="26"/>
        <v>Hyderabad</v>
      </c>
      <c r="G196" s="29" t="s">
        <v>63</v>
      </c>
      <c r="H196" s="29" t="str">
        <f t="shared" si="27"/>
        <v>Sme</v>
      </c>
      <c r="I196" s="29" t="s">
        <v>55</v>
      </c>
      <c r="J196" s="29" t="str">
        <f t="shared" si="28"/>
        <v>Salary</v>
      </c>
      <c r="K196" s="29" t="s">
        <v>56</v>
      </c>
      <c r="L196" s="29" t="str">
        <f t="shared" si="29"/>
        <v>Withdrawal</v>
      </c>
      <c r="M196" s="29" t="s">
        <v>60</v>
      </c>
      <c r="N196" s="29" t="str">
        <f t="shared" si="30"/>
        <v>Internet Banking</v>
      </c>
      <c r="O196" s="29" t="s">
        <v>78</v>
      </c>
      <c r="P196" s="32">
        <v>9992.43</v>
      </c>
      <c r="Q196" s="32">
        <v>0</v>
      </c>
      <c r="R196" s="32" t="str">
        <f t="shared" si="31"/>
        <v>Completed</v>
      </c>
      <c r="S196" s="29" t="s">
        <v>45</v>
      </c>
      <c r="T196" s="29" t="s">
        <v>46</v>
      </c>
    </row>
    <row r="197" spans="1:20">
      <c r="A197" s="29" t="s">
        <v>275</v>
      </c>
      <c r="B197" s="33" t="str">
        <f t="shared" si="24"/>
        <v>03-26</v>
      </c>
      <c r="C197" s="30">
        <v>46095</v>
      </c>
      <c r="D197" s="31" t="str">
        <f t="shared" si="25"/>
        <v>Sukher</v>
      </c>
      <c r="E197" s="29" t="s">
        <v>408</v>
      </c>
      <c r="F197" s="29" t="str">
        <f t="shared" si="26"/>
        <v>Sukher</v>
      </c>
      <c r="G197" s="29" t="s">
        <v>408</v>
      </c>
      <c r="H197" s="29" t="str">
        <f t="shared" si="27"/>
        <v>Corporate</v>
      </c>
      <c r="I197" s="29" t="s">
        <v>64</v>
      </c>
      <c r="J197" s="29" t="str">
        <f t="shared" si="28"/>
        <v>Current</v>
      </c>
      <c r="K197" s="29" t="s">
        <v>50</v>
      </c>
      <c r="L197" s="29" t="str">
        <f t="shared" si="29"/>
        <v>Bill Payment</v>
      </c>
      <c r="M197" s="29" t="s">
        <v>51</v>
      </c>
      <c r="N197" s="29" t="str">
        <f t="shared" si="30"/>
        <v>Branch</v>
      </c>
      <c r="O197" s="29" t="s">
        <v>30</v>
      </c>
      <c r="P197" s="32">
        <v>1682.51</v>
      </c>
      <c r="Q197" s="32">
        <v>73.27</v>
      </c>
      <c r="R197" s="32" t="str">
        <f t="shared" si="31"/>
        <v>Completed</v>
      </c>
      <c r="S197" s="29" t="s">
        <v>45</v>
      </c>
      <c r="T197" s="29" t="s">
        <v>53</v>
      </c>
    </row>
    <row r="198" spans="1:20">
      <c r="A198" s="29" t="s">
        <v>276</v>
      </c>
      <c r="B198" s="33" t="str">
        <f t="shared" si="24"/>
        <v>03-25</v>
      </c>
      <c r="C198" s="30">
        <v>45722</v>
      </c>
      <c r="D198" s="31" t="str">
        <f t="shared" si="25"/>
        <v>Hyderabad</v>
      </c>
      <c r="E198" s="29" t="s">
        <v>63</v>
      </c>
      <c r="F198" s="29" t="str">
        <f t="shared" si="26"/>
        <v>Hyderabad</v>
      </c>
      <c r="G198" s="29" t="s">
        <v>63</v>
      </c>
      <c r="H198" s="29" t="str">
        <f t="shared" si="27"/>
        <v>Corporate</v>
      </c>
      <c r="I198" s="29" t="s">
        <v>64</v>
      </c>
      <c r="J198" s="29" t="str">
        <f t="shared" si="28"/>
        <v>Savings</v>
      </c>
      <c r="K198" s="29" t="s">
        <v>69</v>
      </c>
      <c r="L198" s="29" t="str">
        <f t="shared" si="29"/>
        <v>Withdrawal</v>
      </c>
      <c r="M198" s="29" t="s">
        <v>60</v>
      </c>
      <c r="N198" s="29" t="str">
        <f t="shared" si="30"/>
        <v>Atm</v>
      </c>
      <c r="O198" s="29" t="s">
        <v>52</v>
      </c>
      <c r="P198" s="32">
        <v>40593.410000000003</v>
      </c>
      <c r="Q198" s="32">
        <v>0</v>
      </c>
      <c r="R198" s="32" t="str">
        <f t="shared" si="31"/>
        <v>Completed</v>
      </c>
      <c r="S198" s="29" t="s">
        <v>45</v>
      </c>
      <c r="T198" s="29" t="s">
        <v>65</v>
      </c>
    </row>
    <row r="199" spans="1:20">
      <c r="A199" s="29" t="s">
        <v>277</v>
      </c>
      <c r="B199" s="33" t="str">
        <f t="shared" si="24"/>
        <v>03-25</v>
      </c>
      <c r="C199" s="30">
        <v>45730</v>
      </c>
      <c r="D199" s="31" t="str">
        <f t="shared" si="25"/>
        <v>Hyderabad</v>
      </c>
      <c r="E199" s="29" t="s">
        <v>63</v>
      </c>
      <c r="F199" s="29" t="str">
        <f t="shared" si="26"/>
        <v>Hyderabad</v>
      </c>
      <c r="G199" s="29" t="s">
        <v>63</v>
      </c>
      <c r="H199" s="29" t="str">
        <f t="shared" si="27"/>
        <v>Retail</v>
      </c>
      <c r="I199" s="29" t="s">
        <v>77</v>
      </c>
      <c r="J199" s="29" t="str">
        <f t="shared" si="28"/>
        <v>Salary</v>
      </c>
      <c r="K199" s="29" t="s">
        <v>56</v>
      </c>
      <c r="L199" s="29" t="str">
        <f t="shared" si="29"/>
        <v>Transfer</v>
      </c>
      <c r="M199" s="29" t="s">
        <v>83</v>
      </c>
      <c r="N199" s="29" t="str">
        <f t="shared" si="30"/>
        <v>Internet Banking</v>
      </c>
      <c r="O199" s="29" t="s">
        <v>78</v>
      </c>
      <c r="P199" s="32">
        <v>21479.31</v>
      </c>
      <c r="Q199" s="32">
        <v>35.75</v>
      </c>
      <c r="R199" s="32" t="str">
        <f t="shared" si="31"/>
        <v>Completed</v>
      </c>
      <c r="S199" s="29" t="s">
        <v>45</v>
      </c>
      <c r="T199" s="29" t="s">
        <v>53</v>
      </c>
    </row>
    <row r="200" spans="1:20">
      <c r="A200" s="29" t="s">
        <v>278</v>
      </c>
      <c r="B200" s="33" t="str">
        <f t="shared" si="24"/>
        <v>09-26</v>
      </c>
      <c r="C200" s="30">
        <v>46275</v>
      </c>
      <c r="D200" s="31" t="str">
        <f t="shared" si="25"/>
        <v>Karachi Main</v>
      </c>
      <c r="E200" s="29" t="s">
        <v>73</v>
      </c>
      <c r="F200" s="29" t="str">
        <f t="shared" si="26"/>
        <v>Karachi</v>
      </c>
      <c r="G200" s="29" t="s">
        <v>74</v>
      </c>
      <c r="H200" s="29" t="str">
        <f t="shared" si="27"/>
        <v>Corporate</v>
      </c>
      <c r="I200" s="29" t="s">
        <v>64</v>
      </c>
      <c r="J200" s="29" t="str">
        <f t="shared" si="28"/>
        <v>Current</v>
      </c>
      <c r="K200" s="29" t="s">
        <v>50</v>
      </c>
      <c r="L200" s="29" t="str">
        <f t="shared" si="29"/>
        <v>Deposit</v>
      </c>
      <c r="M200" s="29" t="s">
        <v>43</v>
      </c>
      <c r="N200" s="29" t="str">
        <f t="shared" si="30"/>
        <v>Atm</v>
      </c>
      <c r="O200" s="29" t="s">
        <v>52</v>
      </c>
      <c r="P200" s="32">
        <v>76336.14</v>
      </c>
      <c r="Q200" s="32">
        <v>0</v>
      </c>
      <c r="R200" s="32" t="str">
        <f t="shared" si="31"/>
        <v>Completed</v>
      </c>
      <c r="S200" s="29" t="s">
        <v>45</v>
      </c>
      <c r="T200" s="29" t="s">
        <v>75</v>
      </c>
    </row>
    <row r="201" spans="1:20">
      <c r="A201" s="29" t="s">
        <v>279</v>
      </c>
      <c r="B201" s="33" t="str">
        <f t="shared" si="24"/>
        <v>01-25</v>
      </c>
      <c r="C201" s="30">
        <v>45660</v>
      </c>
      <c r="D201" s="31" t="str">
        <f t="shared" si="25"/>
        <v>Sukher</v>
      </c>
      <c r="E201" s="29" t="s">
        <v>408</v>
      </c>
      <c r="F201" s="29" t="str">
        <f t="shared" si="26"/>
        <v>Sukher</v>
      </c>
      <c r="G201" s="29" t="s">
        <v>408</v>
      </c>
      <c r="H201" s="29" t="str">
        <f t="shared" si="27"/>
        <v>Retail</v>
      </c>
      <c r="I201" s="29" t="s">
        <v>77</v>
      </c>
      <c r="J201" s="29" t="str">
        <f t="shared" si="28"/>
        <v>Savings</v>
      </c>
      <c r="K201" s="29" t="s">
        <v>69</v>
      </c>
      <c r="L201" s="29" t="str">
        <f t="shared" si="29"/>
        <v>Bill Payment</v>
      </c>
      <c r="M201" s="29" t="s">
        <v>51</v>
      </c>
      <c r="N201" s="29" t="str">
        <f t="shared" si="30"/>
        <v>Atm</v>
      </c>
      <c r="O201" s="29" t="s">
        <v>52</v>
      </c>
      <c r="P201" s="32">
        <v>10951.68</v>
      </c>
      <c r="Q201" s="32">
        <v>19.260000000000002</v>
      </c>
      <c r="R201" s="32" t="str">
        <f t="shared" si="31"/>
        <v>Completed</v>
      </c>
      <c r="S201" s="29" t="s">
        <v>45</v>
      </c>
      <c r="T201" s="29" t="s">
        <v>70</v>
      </c>
    </row>
    <row r="202" spans="1:20">
      <c r="A202" s="29" t="s">
        <v>280</v>
      </c>
      <c r="B202" s="33" t="str">
        <f t="shared" si="24"/>
        <v>11-25</v>
      </c>
      <c r="C202" s="30">
        <v>45976</v>
      </c>
      <c r="D202" s="31" t="str">
        <f t="shared" si="25"/>
        <v>Hyderabad</v>
      </c>
      <c r="E202" s="29" t="s">
        <v>63</v>
      </c>
      <c r="F202" s="29" t="str">
        <f t="shared" si="26"/>
        <v>Hyderabad</v>
      </c>
      <c r="G202" s="29" t="s">
        <v>63</v>
      </c>
      <c r="H202" s="29" t="str">
        <f t="shared" si="27"/>
        <v>Retail</v>
      </c>
      <c r="I202" s="29" t="s">
        <v>77</v>
      </c>
      <c r="J202" s="29" t="str">
        <f t="shared" si="28"/>
        <v>Savings</v>
      </c>
      <c r="K202" s="29" t="s">
        <v>69</v>
      </c>
      <c r="L202" s="29" t="str">
        <f t="shared" si="29"/>
        <v>Bill Payment</v>
      </c>
      <c r="M202" s="29" t="s">
        <v>51</v>
      </c>
      <c r="N202" s="29" t="str">
        <f t="shared" si="30"/>
        <v>Mobile App</v>
      </c>
      <c r="O202" s="29" t="s">
        <v>61</v>
      </c>
      <c r="P202" s="32">
        <v>8976.43</v>
      </c>
      <c r="Q202" s="32">
        <v>87.97</v>
      </c>
      <c r="R202" s="32" t="str">
        <f t="shared" si="31"/>
        <v>Completed</v>
      </c>
      <c r="S202" s="29" t="s">
        <v>45</v>
      </c>
      <c r="T202" s="29" t="s">
        <v>65</v>
      </c>
    </row>
    <row r="203" spans="1:20">
      <c r="A203" s="29" t="s">
        <v>281</v>
      </c>
      <c r="B203" s="33" t="str">
        <f t="shared" si="24"/>
        <v>01-26</v>
      </c>
      <c r="C203" s="30">
        <v>46048</v>
      </c>
      <c r="D203" s="31" t="str">
        <f t="shared" si="25"/>
        <v>Larkana</v>
      </c>
      <c r="E203" s="29" t="s">
        <v>48</v>
      </c>
      <c r="F203" s="29" t="str">
        <f t="shared" si="26"/>
        <v>Larkana</v>
      </c>
      <c r="G203" s="29" t="s">
        <v>48</v>
      </c>
      <c r="H203" s="29" t="str">
        <f t="shared" si="27"/>
        <v>Premium</v>
      </c>
      <c r="I203" s="29" t="s">
        <v>49</v>
      </c>
      <c r="J203" s="29" t="str">
        <f t="shared" si="28"/>
        <v>Salary</v>
      </c>
      <c r="K203" s="29" t="s">
        <v>42</v>
      </c>
      <c r="L203" s="29" t="str">
        <f t="shared" si="29"/>
        <v>Deposit</v>
      </c>
      <c r="M203" s="29" t="s">
        <v>43</v>
      </c>
      <c r="N203" s="29" t="str">
        <f t="shared" si="30"/>
        <v>Internet Banking</v>
      </c>
      <c r="O203" s="29" t="s">
        <v>78</v>
      </c>
      <c r="P203" s="32">
        <v>103808.97</v>
      </c>
      <c r="Q203" s="32">
        <v>0</v>
      </c>
      <c r="R203" s="32" t="str">
        <f t="shared" si="31"/>
        <v>Completed</v>
      </c>
      <c r="S203" s="29" t="s">
        <v>45</v>
      </c>
      <c r="T203" s="29" t="s">
        <v>70</v>
      </c>
    </row>
    <row r="204" spans="1:20">
      <c r="A204" s="29" t="s">
        <v>282</v>
      </c>
      <c r="B204" s="33" t="str">
        <f t="shared" si="24"/>
        <v>02-25</v>
      </c>
      <c r="C204" s="30">
        <v>45716</v>
      </c>
      <c r="D204" s="31" t="str">
        <f t="shared" si="25"/>
        <v>Hyderabad</v>
      </c>
      <c r="E204" s="29" t="s">
        <v>63</v>
      </c>
      <c r="F204" s="29" t="str">
        <f t="shared" si="26"/>
        <v>Hyderabad</v>
      </c>
      <c r="G204" s="29" t="s">
        <v>63</v>
      </c>
      <c r="H204" s="29" t="str">
        <f t="shared" si="27"/>
        <v>Sme</v>
      </c>
      <c r="I204" s="29" t="s">
        <v>55</v>
      </c>
      <c r="J204" s="29" t="str">
        <f t="shared" si="28"/>
        <v>Current</v>
      </c>
      <c r="K204" s="29" t="s">
        <v>50</v>
      </c>
      <c r="L204" s="29" t="str">
        <f t="shared" si="29"/>
        <v>Transfer</v>
      </c>
      <c r="M204" s="29" t="s">
        <v>83</v>
      </c>
      <c r="N204" s="29" t="str">
        <f t="shared" si="30"/>
        <v>Mobile App</v>
      </c>
      <c r="O204" s="29" t="s">
        <v>61</v>
      </c>
      <c r="P204" s="32">
        <v>84465.84</v>
      </c>
      <c r="Q204" s="32">
        <v>74.14</v>
      </c>
      <c r="R204" s="32" t="str">
        <f t="shared" si="31"/>
        <v>Completed</v>
      </c>
      <c r="S204" s="29" t="s">
        <v>45</v>
      </c>
      <c r="T204" s="29" t="s">
        <v>46</v>
      </c>
    </row>
    <row r="205" spans="1:20">
      <c r="A205" s="29" t="s">
        <v>283</v>
      </c>
      <c r="B205" s="33" t="str">
        <f t="shared" si="24"/>
        <v>06-25</v>
      </c>
      <c r="C205" s="30">
        <v>45810</v>
      </c>
      <c r="D205" s="31" t="str">
        <f t="shared" si="25"/>
        <v>Nawabshah</v>
      </c>
      <c r="E205" s="29" t="s">
        <v>67</v>
      </c>
      <c r="F205" s="29" t="str">
        <f t="shared" si="26"/>
        <v>Shaheed Benazirabad</v>
      </c>
      <c r="G205" s="29" t="s">
        <v>68</v>
      </c>
      <c r="H205" s="29" t="str">
        <f t="shared" si="27"/>
        <v>Sme</v>
      </c>
      <c r="I205" s="29" t="s">
        <v>55</v>
      </c>
      <c r="J205" s="29" t="str">
        <f t="shared" si="28"/>
        <v>Salary</v>
      </c>
      <c r="K205" s="29" t="s">
        <v>56</v>
      </c>
      <c r="L205" s="29" t="str">
        <f t="shared" si="29"/>
        <v>Withdrawal</v>
      </c>
      <c r="M205" s="29" t="s">
        <v>60</v>
      </c>
      <c r="N205" s="29" t="str">
        <f t="shared" si="30"/>
        <v>Internet Banking</v>
      </c>
      <c r="O205" s="29" t="s">
        <v>78</v>
      </c>
      <c r="P205" s="32">
        <v>47159.21</v>
      </c>
      <c r="Q205" s="32">
        <v>0</v>
      </c>
      <c r="R205" s="32" t="str">
        <f t="shared" si="31"/>
        <v>Completed</v>
      </c>
      <c r="S205" s="29" t="s">
        <v>45</v>
      </c>
      <c r="T205" s="29" t="s">
        <v>65</v>
      </c>
    </row>
    <row r="206" spans="1:20">
      <c r="A206" s="29" t="s">
        <v>284</v>
      </c>
      <c r="B206" s="33" t="str">
        <f t="shared" si="24"/>
        <v>07-26</v>
      </c>
      <c r="C206" s="30">
        <v>46211</v>
      </c>
      <c r="D206" s="31" t="str">
        <f t="shared" si="25"/>
        <v>Hyderabad</v>
      </c>
      <c r="E206" s="29" t="s">
        <v>63</v>
      </c>
      <c r="F206" s="29" t="str">
        <f t="shared" si="26"/>
        <v>Hyderabad</v>
      </c>
      <c r="G206" s="29" t="s">
        <v>63</v>
      </c>
      <c r="H206" s="29" t="str">
        <f t="shared" si="27"/>
        <v>Premium</v>
      </c>
      <c r="I206" s="29" t="s">
        <v>49</v>
      </c>
      <c r="J206" s="29" t="str">
        <f t="shared" si="28"/>
        <v>Savings</v>
      </c>
      <c r="K206" s="29" t="s">
        <v>69</v>
      </c>
      <c r="L206" s="29" t="str">
        <f t="shared" si="29"/>
        <v>Bill Payment</v>
      </c>
      <c r="M206" s="29" t="s">
        <v>51</v>
      </c>
      <c r="N206" s="29" t="str">
        <f t="shared" si="30"/>
        <v>Atm</v>
      </c>
      <c r="O206" s="29" t="s">
        <v>52</v>
      </c>
      <c r="P206" s="32">
        <v>9401.4699999999993</v>
      </c>
      <c r="Q206" s="32">
        <v>79.12</v>
      </c>
      <c r="R206" s="32" t="str">
        <f t="shared" si="31"/>
        <v>Completed</v>
      </c>
      <c r="S206" s="29" t="s">
        <v>45</v>
      </c>
      <c r="T206" s="29" t="s">
        <v>57</v>
      </c>
    </row>
    <row r="207" spans="1:20">
      <c r="A207" s="29" t="s">
        <v>285</v>
      </c>
      <c r="B207" s="33" t="str">
        <f t="shared" si="24"/>
        <v>02-25</v>
      </c>
      <c r="C207" s="30">
        <v>45695</v>
      </c>
      <c r="D207" s="31" t="str">
        <f t="shared" si="25"/>
        <v>Karachi Main</v>
      </c>
      <c r="E207" s="29" t="s">
        <v>73</v>
      </c>
      <c r="F207" s="29" t="str">
        <f t="shared" si="26"/>
        <v>Karachi</v>
      </c>
      <c r="G207" s="29" t="s">
        <v>74</v>
      </c>
      <c r="H207" s="29" t="str">
        <f t="shared" si="27"/>
        <v>Sme</v>
      </c>
      <c r="I207" s="29" t="s">
        <v>55</v>
      </c>
      <c r="J207" s="29" t="str">
        <f t="shared" si="28"/>
        <v>Salary</v>
      </c>
      <c r="K207" s="29" t="s">
        <v>56</v>
      </c>
      <c r="L207" s="29" t="str">
        <f t="shared" si="29"/>
        <v>Transfer</v>
      </c>
      <c r="M207" s="29" t="s">
        <v>83</v>
      </c>
      <c r="N207" s="29" t="str">
        <f t="shared" si="30"/>
        <v>Mobile App</v>
      </c>
      <c r="O207" s="29" t="s">
        <v>61</v>
      </c>
      <c r="P207" s="32">
        <v>55112.23</v>
      </c>
      <c r="Q207" s="32">
        <v>102.47</v>
      </c>
      <c r="R207" s="32" t="str">
        <f t="shared" si="31"/>
        <v>Completed</v>
      </c>
      <c r="S207" s="29" t="s">
        <v>45</v>
      </c>
      <c r="T207" s="29" t="s">
        <v>75</v>
      </c>
    </row>
    <row r="208" spans="1:20">
      <c r="A208" s="29" t="s">
        <v>286</v>
      </c>
      <c r="B208" s="33" t="str">
        <f t="shared" si="24"/>
        <v>03-25</v>
      </c>
      <c r="C208" s="30">
        <v>45727</v>
      </c>
      <c r="D208" s="31" t="str">
        <f t="shared" si="25"/>
        <v>Nawabshah</v>
      </c>
      <c r="E208" s="29" t="s">
        <v>67</v>
      </c>
      <c r="F208" s="29" t="str">
        <f t="shared" si="26"/>
        <v>Shaheed Benazirabad</v>
      </c>
      <c r="G208" s="29" t="s">
        <v>68</v>
      </c>
      <c r="H208" s="29" t="str">
        <f t="shared" si="27"/>
        <v>Corporate</v>
      </c>
      <c r="I208" s="29" t="s">
        <v>64</v>
      </c>
      <c r="J208" s="29" t="str">
        <f t="shared" si="28"/>
        <v>Savings</v>
      </c>
      <c r="K208" s="29" t="s">
        <v>69</v>
      </c>
      <c r="L208" s="29" t="str">
        <f t="shared" si="29"/>
        <v>Transfer</v>
      </c>
      <c r="M208" s="29" t="s">
        <v>83</v>
      </c>
      <c r="N208" s="29" t="str">
        <f t="shared" si="30"/>
        <v>Branch</v>
      </c>
      <c r="O208" s="29" t="s">
        <v>30</v>
      </c>
      <c r="P208" s="32">
        <v>76741.649999999994</v>
      </c>
      <c r="Q208" s="32">
        <v>167.85</v>
      </c>
      <c r="R208" s="32" t="str">
        <f t="shared" si="31"/>
        <v>Pending</v>
      </c>
      <c r="S208" s="29" t="s">
        <v>84</v>
      </c>
      <c r="T208" s="29" t="s">
        <v>70</v>
      </c>
    </row>
    <row r="209" spans="1:20">
      <c r="A209" s="29" t="s">
        <v>287</v>
      </c>
      <c r="B209" s="33" t="str">
        <f t="shared" si="24"/>
        <v>11-26</v>
      </c>
      <c r="C209" s="30">
        <v>46336</v>
      </c>
      <c r="D209" s="31" t="str">
        <f t="shared" si="25"/>
        <v>Hyderabad</v>
      </c>
      <c r="E209" s="29" t="s">
        <v>63</v>
      </c>
      <c r="F209" s="29" t="str">
        <f t="shared" si="26"/>
        <v>Hyderabad</v>
      </c>
      <c r="G209" s="29" t="s">
        <v>63</v>
      </c>
      <c r="H209" s="29" t="str">
        <f t="shared" si="27"/>
        <v>Retail</v>
      </c>
      <c r="I209" s="29" t="s">
        <v>77</v>
      </c>
      <c r="J209" s="29" t="str">
        <f t="shared" si="28"/>
        <v>Current</v>
      </c>
      <c r="K209" s="29" t="s">
        <v>50</v>
      </c>
      <c r="L209" s="29" t="str">
        <f t="shared" si="29"/>
        <v>Withdrawal</v>
      </c>
      <c r="M209" s="29" t="s">
        <v>60</v>
      </c>
      <c r="N209" s="29" t="str">
        <f t="shared" si="30"/>
        <v>Atm</v>
      </c>
      <c r="O209" s="29" t="s">
        <v>52</v>
      </c>
      <c r="P209" s="32">
        <v>51201.59</v>
      </c>
      <c r="Q209" s="32">
        <v>0</v>
      </c>
      <c r="R209" s="32" t="str">
        <f t="shared" si="31"/>
        <v>Completed</v>
      </c>
      <c r="S209" s="29" t="s">
        <v>45</v>
      </c>
      <c r="T209" s="29" t="s">
        <v>75</v>
      </c>
    </row>
    <row r="210" spans="1:20">
      <c r="A210" s="29" t="s">
        <v>288</v>
      </c>
      <c r="B210" s="33" t="str">
        <f t="shared" si="24"/>
        <v>09-25</v>
      </c>
      <c r="C210" s="30">
        <v>45926</v>
      </c>
      <c r="D210" s="31" t="str">
        <f t="shared" si="25"/>
        <v>Hyderabad</v>
      </c>
      <c r="E210" s="29" t="s">
        <v>63</v>
      </c>
      <c r="F210" s="29" t="str">
        <f t="shared" si="26"/>
        <v>Hyderabad</v>
      </c>
      <c r="G210" s="29" t="s">
        <v>63</v>
      </c>
      <c r="H210" s="29" t="str">
        <f t="shared" si="27"/>
        <v>Premium</v>
      </c>
      <c r="I210" s="29" t="s">
        <v>49</v>
      </c>
      <c r="J210" s="29" t="str">
        <f t="shared" si="28"/>
        <v>Current</v>
      </c>
      <c r="K210" s="29" t="s">
        <v>50</v>
      </c>
      <c r="L210" s="29" t="str">
        <f t="shared" si="29"/>
        <v>Bill Payment</v>
      </c>
      <c r="M210" s="29" t="s">
        <v>51</v>
      </c>
      <c r="N210" s="29" t="str">
        <f t="shared" si="30"/>
        <v>Branch</v>
      </c>
      <c r="O210" s="29" t="s">
        <v>30</v>
      </c>
      <c r="P210" s="32">
        <v>25456.07</v>
      </c>
      <c r="Q210" s="32">
        <v>22.72</v>
      </c>
      <c r="R210" s="32" t="str">
        <f t="shared" si="31"/>
        <v>Completed</v>
      </c>
      <c r="S210" s="29" t="s">
        <v>45</v>
      </c>
      <c r="T210" s="29" t="s">
        <v>57</v>
      </c>
    </row>
    <row r="211" spans="1:20">
      <c r="A211" s="29" t="s">
        <v>289</v>
      </c>
      <c r="B211" s="33" t="str">
        <f t="shared" si="24"/>
        <v>09-25</v>
      </c>
      <c r="C211" s="30">
        <v>45917</v>
      </c>
      <c r="D211" s="31" t="str">
        <f t="shared" si="25"/>
        <v>Larkana</v>
      </c>
      <c r="E211" s="29" t="s">
        <v>48</v>
      </c>
      <c r="F211" s="29" t="str">
        <f t="shared" si="26"/>
        <v>Larkana</v>
      </c>
      <c r="G211" s="29" t="s">
        <v>48</v>
      </c>
      <c r="H211" s="29" t="str">
        <f t="shared" si="27"/>
        <v>Sme</v>
      </c>
      <c r="I211" s="29" t="s">
        <v>55</v>
      </c>
      <c r="J211" s="29" t="str">
        <f t="shared" si="28"/>
        <v>Current</v>
      </c>
      <c r="K211" s="29" t="s">
        <v>50</v>
      </c>
      <c r="L211" s="29" t="str">
        <f t="shared" si="29"/>
        <v>Withdrawal</v>
      </c>
      <c r="M211" s="29" t="s">
        <v>60</v>
      </c>
      <c r="N211" s="29" t="str">
        <f t="shared" si="30"/>
        <v>Mobile App</v>
      </c>
      <c r="O211" s="29" t="s">
        <v>61</v>
      </c>
      <c r="P211" s="32">
        <v>24603.41</v>
      </c>
      <c r="Q211" s="32">
        <v>0</v>
      </c>
      <c r="R211" s="32" t="str">
        <f t="shared" si="31"/>
        <v>Completed</v>
      </c>
      <c r="S211" s="29" t="s">
        <v>45</v>
      </c>
      <c r="T211" s="29" t="s">
        <v>46</v>
      </c>
    </row>
    <row r="212" spans="1:20">
      <c r="A212" s="29" t="s">
        <v>290</v>
      </c>
      <c r="B212" s="33" t="str">
        <f t="shared" si="24"/>
        <v>07-26</v>
      </c>
      <c r="C212" s="30">
        <v>46213</v>
      </c>
      <c r="D212" s="31" t="str">
        <f t="shared" si="25"/>
        <v>Larkana</v>
      </c>
      <c r="E212" s="29" t="s">
        <v>48</v>
      </c>
      <c r="F212" s="29" t="str">
        <f t="shared" si="26"/>
        <v>Larkana</v>
      </c>
      <c r="G212" s="29" t="s">
        <v>48</v>
      </c>
      <c r="H212" s="29" t="str">
        <f t="shared" si="27"/>
        <v>Premium</v>
      </c>
      <c r="I212" s="29" t="s">
        <v>49</v>
      </c>
      <c r="J212" s="29" t="str">
        <f t="shared" si="28"/>
        <v>Salary</v>
      </c>
      <c r="K212" s="29" t="s">
        <v>56</v>
      </c>
      <c r="L212" s="29" t="str">
        <f t="shared" si="29"/>
        <v>Bill Payment</v>
      </c>
      <c r="M212" s="29" t="s">
        <v>51</v>
      </c>
      <c r="N212" s="29" t="str">
        <f t="shared" si="30"/>
        <v>Mobile App</v>
      </c>
      <c r="O212" s="29" t="s">
        <v>61</v>
      </c>
      <c r="P212" s="32">
        <v>7081.85</v>
      </c>
      <c r="Q212" s="32">
        <v>46.84</v>
      </c>
      <c r="R212" s="32" t="str">
        <f t="shared" si="31"/>
        <v>Completed</v>
      </c>
      <c r="S212" s="29" t="s">
        <v>45</v>
      </c>
      <c r="T212" s="29" t="s">
        <v>75</v>
      </c>
    </row>
    <row r="213" spans="1:20">
      <c r="A213" s="29" t="s">
        <v>291</v>
      </c>
      <c r="B213" s="33" t="str">
        <f t="shared" si="24"/>
        <v>10-25</v>
      </c>
      <c r="C213" s="30">
        <v>45946</v>
      </c>
      <c r="D213" s="31" t="str">
        <f t="shared" si="25"/>
        <v>Sukher</v>
      </c>
      <c r="E213" s="29" t="s">
        <v>408</v>
      </c>
      <c r="F213" s="29" t="str">
        <f t="shared" si="26"/>
        <v>Sukher</v>
      </c>
      <c r="G213" s="29" t="s">
        <v>408</v>
      </c>
      <c r="H213" s="29" t="str">
        <f t="shared" si="27"/>
        <v>Corporate</v>
      </c>
      <c r="I213" s="29" t="s">
        <v>64</v>
      </c>
      <c r="J213" s="29" t="str">
        <f t="shared" si="28"/>
        <v>Savings</v>
      </c>
      <c r="K213" s="29" t="s">
        <v>69</v>
      </c>
      <c r="L213" s="29" t="str">
        <f t="shared" si="29"/>
        <v>Withdrawal</v>
      </c>
      <c r="M213" s="29" t="s">
        <v>60</v>
      </c>
      <c r="N213" s="29" t="str">
        <f t="shared" si="30"/>
        <v>Branch</v>
      </c>
      <c r="O213" s="29" t="s">
        <v>30</v>
      </c>
      <c r="P213" s="32">
        <v>2312.62</v>
      </c>
      <c r="Q213" s="32">
        <v>0</v>
      </c>
      <c r="R213" s="32" t="str">
        <f t="shared" si="31"/>
        <v>Completed</v>
      </c>
      <c r="S213" s="29" t="s">
        <v>45</v>
      </c>
      <c r="T213" s="29" t="s">
        <v>70</v>
      </c>
    </row>
    <row r="214" spans="1:20">
      <c r="A214" s="29" t="s">
        <v>292</v>
      </c>
      <c r="B214" s="33" t="str">
        <f t="shared" si="24"/>
        <v>07-25</v>
      </c>
      <c r="C214" s="30">
        <v>45865</v>
      </c>
      <c r="D214" s="31" t="str">
        <f t="shared" si="25"/>
        <v>Karachi Main</v>
      </c>
      <c r="E214" s="29" t="s">
        <v>73</v>
      </c>
      <c r="F214" s="29" t="str">
        <f t="shared" si="26"/>
        <v>Karachi</v>
      </c>
      <c r="G214" s="29" t="s">
        <v>74</v>
      </c>
      <c r="H214" s="29" t="str">
        <f t="shared" si="27"/>
        <v>Premium</v>
      </c>
      <c r="I214" s="29" t="s">
        <v>49</v>
      </c>
      <c r="J214" s="29" t="str">
        <f t="shared" si="28"/>
        <v>Current</v>
      </c>
      <c r="K214" s="29" t="s">
        <v>50</v>
      </c>
      <c r="L214" s="29" t="str">
        <f t="shared" si="29"/>
        <v>Deposit</v>
      </c>
      <c r="M214" s="29" t="s">
        <v>43</v>
      </c>
      <c r="N214" s="29" t="str">
        <f t="shared" si="30"/>
        <v>Branch</v>
      </c>
      <c r="O214" s="29" t="s">
        <v>293</v>
      </c>
      <c r="P214" s="32">
        <v>102212.88</v>
      </c>
      <c r="Q214" s="32">
        <v>0</v>
      </c>
      <c r="R214" s="32" t="str">
        <f t="shared" si="31"/>
        <v>Completed</v>
      </c>
      <c r="S214" s="29" t="s">
        <v>45</v>
      </c>
      <c r="T214" s="29" t="s">
        <v>70</v>
      </c>
    </row>
    <row r="215" spans="1:20">
      <c r="A215" s="29" t="s">
        <v>294</v>
      </c>
      <c r="B215" s="33" t="str">
        <f t="shared" si="24"/>
        <v>01-26</v>
      </c>
      <c r="C215" s="30">
        <v>46048</v>
      </c>
      <c r="D215" s="31" t="str">
        <f t="shared" si="25"/>
        <v>Sukher</v>
      </c>
      <c r="E215" s="29" t="s">
        <v>408</v>
      </c>
      <c r="F215" s="29" t="str">
        <f t="shared" si="26"/>
        <v>Sukher</v>
      </c>
      <c r="G215" s="29" t="s">
        <v>408</v>
      </c>
      <c r="H215" s="29" t="str">
        <f t="shared" si="27"/>
        <v>Premium</v>
      </c>
      <c r="I215" s="29" t="s">
        <v>49</v>
      </c>
      <c r="J215" s="29" t="str">
        <f t="shared" si="28"/>
        <v>Savings</v>
      </c>
      <c r="K215" s="29" t="s">
        <v>69</v>
      </c>
      <c r="L215" s="29" t="str">
        <f t="shared" si="29"/>
        <v>Bill Payment</v>
      </c>
      <c r="M215" s="29" t="s">
        <v>51</v>
      </c>
      <c r="N215" s="29" t="str">
        <f t="shared" si="30"/>
        <v>Atm</v>
      </c>
      <c r="O215" s="29" t="s">
        <v>52</v>
      </c>
      <c r="P215" s="32">
        <v>17959.740000000002</v>
      </c>
      <c r="Q215" s="32">
        <v>37.26</v>
      </c>
      <c r="R215" s="32" t="str">
        <f t="shared" si="31"/>
        <v>Pending</v>
      </c>
      <c r="S215" s="29" t="s">
        <v>84</v>
      </c>
      <c r="T215" s="29" t="s">
        <v>57</v>
      </c>
    </row>
    <row r="216" spans="1:20">
      <c r="A216" s="29" t="s">
        <v>295</v>
      </c>
      <c r="B216" s="33" t="str">
        <f t="shared" si="24"/>
        <v>08-25</v>
      </c>
      <c r="C216" s="30">
        <v>45895</v>
      </c>
      <c r="D216" s="31" t="str">
        <f t="shared" si="25"/>
        <v>Karachi Main</v>
      </c>
      <c r="E216" s="29" t="s">
        <v>73</v>
      </c>
      <c r="F216" s="29" t="str">
        <f t="shared" si="26"/>
        <v>Karachi</v>
      </c>
      <c r="G216" s="29" t="s">
        <v>74</v>
      </c>
      <c r="H216" s="29" t="str">
        <f t="shared" si="27"/>
        <v>Premium</v>
      </c>
      <c r="I216" s="29" t="s">
        <v>49</v>
      </c>
      <c r="J216" s="29" t="str">
        <f t="shared" si="28"/>
        <v>Current</v>
      </c>
      <c r="K216" s="29" t="s">
        <v>50</v>
      </c>
      <c r="L216" s="29" t="str">
        <f t="shared" si="29"/>
        <v>Transfer</v>
      </c>
      <c r="M216" s="29" t="s">
        <v>83</v>
      </c>
      <c r="N216" s="29" t="str">
        <f t="shared" si="30"/>
        <v>Mobile App</v>
      </c>
      <c r="O216" s="29" t="s">
        <v>61</v>
      </c>
      <c r="P216" s="32">
        <v>78497.69</v>
      </c>
      <c r="Q216" s="32">
        <v>155.26</v>
      </c>
      <c r="R216" s="32" t="str">
        <f t="shared" si="31"/>
        <v>Completed</v>
      </c>
      <c r="S216" s="29" t="s">
        <v>45</v>
      </c>
      <c r="T216" s="29" t="s">
        <v>75</v>
      </c>
    </row>
    <row r="217" spans="1:20">
      <c r="A217" s="29" t="s">
        <v>296</v>
      </c>
      <c r="B217" s="33" t="str">
        <f t="shared" si="24"/>
        <v>03-25</v>
      </c>
      <c r="C217" s="30">
        <v>45729</v>
      </c>
      <c r="D217" s="31" t="str">
        <f t="shared" si="25"/>
        <v>Hyderabad</v>
      </c>
      <c r="E217" s="29" t="s">
        <v>63</v>
      </c>
      <c r="F217" s="29" t="str">
        <f t="shared" si="26"/>
        <v>Hyderabad</v>
      </c>
      <c r="G217" s="29" t="s">
        <v>63</v>
      </c>
      <c r="H217" s="29" t="str">
        <f t="shared" si="27"/>
        <v>Corporate</v>
      </c>
      <c r="I217" s="29" t="s">
        <v>64</v>
      </c>
      <c r="J217" s="29" t="str">
        <f t="shared" si="28"/>
        <v>Current</v>
      </c>
      <c r="K217" s="29" t="s">
        <v>50</v>
      </c>
      <c r="L217" s="29" t="str">
        <f t="shared" si="29"/>
        <v>Deposit</v>
      </c>
      <c r="M217" s="29" t="s">
        <v>43</v>
      </c>
      <c r="N217" s="29" t="str">
        <f t="shared" si="30"/>
        <v>Internet Banking</v>
      </c>
      <c r="O217" s="29" t="s">
        <v>78</v>
      </c>
      <c r="P217" s="32">
        <v>68706.73</v>
      </c>
      <c r="Q217" s="32">
        <v>0</v>
      </c>
      <c r="R217" s="32" t="str">
        <f t="shared" si="31"/>
        <v>Pending</v>
      </c>
      <c r="S217" s="29" t="s">
        <v>84</v>
      </c>
      <c r="T217" s="29" t="s">
        <v>75</v>
      </c>
    </row>
    <row r="218" spans="1:20">
      <c r="A218" s="29" t="s">
        <v>297</v>
      </c>
      <c r="B218" s="33" t="str">
        <f t="shared" si="24"/>
        <v>04-26</v>
      </c>
      <c r="C218" s="30">
        <v>46120</v>
      </c>
      <c r="D218" s="31" t="str">
        <f t="shared" si="25"/>
        <v>Hyderabad</v>
      </c>
      <c r="E218" s="29" t="s">
        <v>63</v>
      </c>
      <c r="F218" s="29" t="str">
        <f t="shared" si="26"/>
        <v>Hyderabad</v>
      </c>
      <c r="G218" s="29" t="s">
        <v>63</v>
      </c>
      <c r="H218" s="29" t="str">
        <f t="shared" si="27"/>
        <v>Sme</v>
      </c>
      <c r="I218" s="29" t="s">
        <v>55</v>
      </c>
      <c r="J218" s="29" t="str">
        <f t="shared" si="28"/>
        <v>Savings</v>
      </c>
      <c r="K218" s="29" t="s">
        <v>69</v>
      </c>
      <c r="L218" s="29" t="str">
        <f t="shared" si="29"/>
        <v>Deposit</v>
      </c>
      <c r="M218" s="29" t="s">
        <v>43</v>
      </c>
      <c r="N218" s="29" t="str">
        <f t="shared" si="30"/>
        <v>Atm</v>
      </c>
      <c r="O218" s="29" t="s">
        <v>52</v>
      </c>
      <c r="P218" s="32">
        <v>74348.820000000007</v>
      </c>
      <c r="Q218" s="32">
        <v>0</v>
      </c>
      <c r="R218" s="32" t="str">
        <f t="shared" si="31"/>
        <v>Completed</v>
      </c>
      <c r="S218" s="29" t="s">
        <v>45</v>
      </c>
      <c r="T218" s="29" t="s">
        <v>65</v>
      </c>
    </row>
    <row r="219" spans="1:20">
      <c r="A219" s="29" t="s">
        <v>298</v>
      </c>
      <c r="B219" s="33" t="str">
        <f t="shared" si="24"/>
        <v>09-25</v>
      </c>
      <c r="C219" s="30">
        <v>45915</v>
      </c>
      <c r="D219" s="31" t="str">
        <f t="shared" si="25"/>
        <v>Larkana</v>
      </c>
      <c r="E219" s="29" t="s">
        <v>48</v>
      </c>
      <c r="F219" s="29" t="str">
        <f t="shared" si="26"/>
        <v>Larkana</v>
      </c>
      <c r="G219" s="29" t="s">
        <v>48</v>
      </c>
      <c r="H219" s="29" t="str">
        <f t="shared" si="27"/>
        <v>Retail</v>
      </c>
      <c r="I219" s="29" t="s">
        <v>77</v>
      </c>
      <c r="J219" s="29" t="str">
        <f t="shared" si="28"/>
        <v>Savings</v>
      </c>
      <c r="K219" s="29" t="s">
        <v>69</v>
      </c>
      <c r="L219" s="29" t="str">
        <f t="shared" si="29"/>
        <v>Withdrawal</v>
      </c>
      <c r="M219" s="29" t="s">
        <v>60</v>
      </c>
      <c r="N219" s="29" t="str">
        <f t="shared" si="30"/>
        <v>Branch</v>
      </c>
      <c r="O219" s="29" t="s">
        <v>30</v>
      </c>
      <c r="P219" s="32">
        <v>47764.75</v>
      </c>
      <c r="Q219" s="32">
        <v>0</v>
      </c>
      <c r="R219" s="32" t="str">
        <f t="shared" si="31"/>
        <v>Completed</v>
      </c>
      <c r="S219" s="29" t="s">
        <v>45</v>
      </c>
      <c r="T219" s="29" t="s">
        <v>53</v>
      </c>
    </row>
    <row r="220" spans="1:20">
      <c r="A220" s="29" t="s">
        <v>299</v>
      </c>
      <c r="B220" s="33" t="str">
        <f t="shared" si="24"/>
        <v>09-25</v>
      </c>
      <c r="C220" s="30">
        <v>45924</v>
      </c>
      <c r="D220" s="31" t="str">
        <f t="shared" si="25"/>
        <v>Larkana</v>
      </c>
      <c r="E220" s="29" t="s">
        <v>48</v>
      </c>
      <c r="F220" s="29" t="str">
        <f t="shared" si="26"/>
        <v>Larkana</v>
      </c>
      <c r="G220" s="29" t="s">
        <v>48</v>
      </c>
      <c r="H220" s="29" t="str">
        <f t="shared" si="27"/>
        <v>Premium</v>
      </c>
      <c r="I220" s="29" t="s">
        <v>49</v>
      </c>
      <c r="J220" s="29" t="str">
        <f t="shared" si="28"/>
        <v>Salary</v>
      </c>
      <c r="K220" s="29" t="s">
        <v>56</v>
      </c>
      <c r="L220" s="29" t="str">
        <f t="shared" si="29"/>
        <v>Withdrawal</v>
      </c>
      <c r="M220" s="29" t="s">
        <v>60</v>
      </c>
      <c r="N220" s="29" t="str">
        <f t="shared" si="30"/>
        <v>Atm</v>
      </c>
      <c r="O220" s="29" t="s">
        <v>52</v>
      </c>
      <c r="P220" s="32">
        <v>32795.74</v>
      </c>
      <c r="Q220" s="32">
        <v>0</v>
      </c>
      <c r="R220" s="32" t="str">
        <f t="shared" si="31"/>
        <v>Completed</v>
      </c>
      <c r="S220" s="29" t="s">
        <v>45</v>
      </c>
      <c r="T220" s="29" t="s">
        <v>75</v>
      </c>
    </row>
    <row r="221" spans="1:20">
      <c r="A221" s="29" t="s">
        <v>300</v>
      </c>
      <c r="B221" s="33" t="str">
        <f t="shared" si="24"/>
        <v>06-26</v>
      </c>
      <c r="C221" s="30">
        <v>46176</v>
      </c>
      <c r="D221" s="31" t="str">
        <f t="shared" si="25"/>
        <v>Sukher</v>
      </c>
      <c r="E221" s="29" t="s">
        <v>408</v>
      </c>
      <c r="F221" s="29" t="str">
        <f t="shared" si="26"/>
        <v>Sukher</v>
      </c>
      <c r="G221" s="29" t="s">
        <v>408</v>
      </c>
      <c r="H221" s="29" t="str">
        <f t="shared" si="27"/>
        <v>Sme</v>
      </c>
      <c r="I221" s="29" t="s">
        <v>55</v>
      </c>
      <c r="J221" s="29" t="str">
        <f t="shared" si="28"/>
        <v>Current</v>
      </c>
      <c r="K221" s="29" t="s">
        <v>50</v>
      </c>
      <c r="L221" s="29" t="str">
        <f t="shared" si="29"/>
        <v>Withdrawal</v>
      </c>
      <c r="M221" s="29" t="s">
        <v>60</v>
      </c>
      <c r="N221" s="29" t="str">
        <f t="shared" si="30"/>
        <v>Internet Banking</v>
      </c>
      <c r="O221" s="29" t="s">
        <v>78</v>
      </c>
      <c r="P221" s="32">
        <v>68131.11</v>
      </c>
      <c r="Q221" s="32">
        <v>0</v>
      </c>
      <c r="R221" s="32" t="str">
        <f t="shared" si="31"/>
        <v>Completed</v>
      </c>
      <c r="S221" s="29" t="s">
        <v>45</v>
      </c>
      <c r="T221" s="29" t="s">
        <v>70</v>
      </c>
    </row>
    <row r="222" spans="1:20">
      <c r="A222" s="29" t="s">
        <v>301</v>
      </c>
      <c r="B222" s="33" t="str">
        <f t="shared" si="24"/>
        <v>12-25</v>
      </c>
      <c r="C222" s="30">
        <v>46009</v>
      </c>
      <c r="D222" s="31" t="str">
        <f t="shared" si="25"/>
        <v>Larkana</v>
      </c>
      <c r="E222" s="29" t="s">
        <v>48</v>
      </c>
      <c r="F222" s="29" t="str">
        <f t="shared" si="26"/>
        <v>Larkana</v>
      </c>
      <c r="G222" s="29" t="s">
        <v>48</v>
      </c>
      <c r="H222" s="29" t="str">
        <f t="shared" si="27"/>
        <v>Premium</v>
      </c>
      <c r="I222" s="29" t="s">
        <v>49</v>
      </c>
      <c r="J222" s="29" t="str">
        <f t="shared" si="28"/>
        <v>Current</v>
      </c>
      <c r="K222" s="29" t="s">
        <v>50</v>
      </c>
      <c r="L222" s="29" t="str">
        <f t="shared" si="29"/>
        <v>Bill Payment</v>
      </c>
      <c r="M222" s="29" t="s">
        <v>51</v>
      </c>
      <c r="N222" s="29" t="str">
        <f t="shared" si="30"/>
        <v>Mobile App</v>
      </c>
      <c r="O222" s="29" t="s">
        <v>61</v>
      </c>
      <c r="P222" s="32">
        <v>8157.28</v>
      </c>
      <c r="Q222" s="32">
        <v>84.41</v>
      </c>
      <c r="R222" s="32" t="str">
        <f t="shared" si="31"/>
        <v>Completed</v>
      </c>
      <c r="S222" s="29" t="s">
        <v>45</v>
      </c>
      <c r="T222" s="29" t="s">
        <v>75</v>
      </c>
    </row>
    <row r="223" spans="1:20">
      <c r="A223" s="29" t="s">
        <v>302</v>
      </c>
      <c r="B223" s="33" t="str">
        <f t="shared" si="24"/>
        <v>09-25</v>
      </c>
      <c r="C223" s="30">
        <v>45916</v>
      </c>
      <c r="D223" s="31" t="str">
        <f t="shared" si="25"/>
        <v>Karachi Main</v>
      </c>
      <c r="E223" s="29" t="s">
        <v>73</v>
      </c>
      <c r="F223" s="29" t="str">
        <f t="shared" si="26"/>
        <v>Karachi</v>
      </c>
      <c r="G223" s="29" t="s">
        <v>74</v>
      </c>
      <c r="H223" s="29" t="str">
        <f t="shared" si="27"/>
        <v>Sme</v>
      </c>
      <c r="I223" s="29" t="s">
        <v>55</v>
      </c>
      <c r="J223" s="29" t="str">
        <f t="shared" si="28"/>
        <v>Salary</v>
      </c>
      <c r="K223" s="29" t="s">
        <v>56</v>
      </c>
      <c r="L223" s="29" t="str">
        <f t="shared" si="29"/>
        <v>Deposit</v>
      </c>
      <c r="M223" s="29" t="s">
        <v>43</v>
      </c>
      <c r="N223" s="29" t="str">
        <f t="shared" si="30"/>
        <v>Branch</v>
      </c>
      <c r="O223" s="29" t="s">
        <v>30</v>
      </c>
      <c r="P223" s="32">
        <v>85535.53</v>
      </c>
      <c r="Q223" s="32">
        <v>0</v>
      </c>
      <c r="R223" s="32" t="str">
        <f t="shared" si="31"/>
        <v>Completed</v>
      </c>
      <c r="S223" s="29" t="s">
        <v>45</v>
      </c>
      <c r="T223" s="29" t="s">
        <v>46</v>
      </c>
    </row>
    <row r="224" spans="1:20">
      <c r="A224" s="29" t="s">
        <v>303</v>
      </c>
      <c r="B224" s="33" t="str">
        <f t="shared" si="24"/>
        <v>08-26</v>
      </c>
      <c r="C224" s="30">
        <v>46258</v>
      </c>
      <c r="D224" s="31" t="str">
        <f t="shared" si="25"/>
        <v>Larkana</v>
      </c>
      <c r="E224" s="29" t="s">
        <v>148</v>
      </c>
      <c r="F224" s="29" t="str">
        <f t="shared" si="26"/>
        <v>Larkana</v>
      </c>
      <c r="G224" s="29" t="s">
        <v>48</v>
      </c>
      <c r="H224" s="29" t="str">
        <f t="shared" si="27"/>
        <v>Sme</v>
      </c>
      <c r="I224" s="29" t="s">
        <v>55</v>
      </c>
      <c r="J224" s="29" t="str">
        <f t="shared" si="28"/>
        <v>Savings</v>
      </c>
      <c r="K224" s="29" t="s">
        <v>69</v>
      </c>
      <c r="L224" s="29" t="str">
        <f t="shared" si="29"/>
        <v>Transfer</v>
      </c>
      <c r="M224" s="29" t="s">
        <v>83</v>
      </c>
      <c r="N224" s="29" t="str">
        <f t="shared" si="30"/>
        <v>Branch</v>
      </c>
      <c r="O224" s="29" t="s">
        <v>30</v>
      </c>
      <c r="P224" s="32">
        <v>160803.29</v>
      </c>
      <c r="Q224" s="32">
        <v>167.21</v>
      </c>
      <c r="R224" s="32" t="str">
        <f t="shared" si="31"/>
        <v>Completed</v>
      </c>
      <c r="S224" s="29" t="s">
        <v>45</v>
      </c>
      <c r="T224" s="29" t="s">
        <v>53</v>
      </c>
    </row>
    <row r="225" spans="1:20">
      <c r="A225" s="29" t="s">
        <v>304</v>
      </c>
      <c r="B225" s="33" t="str">
        <f t="shared" si="24"/>
        <v>05-25</v>
      </c>
      <c r="C225" s="30">
        <v>45801</v>
      </c>
      <c r="D225" s="31" t="str">
        <f t="shared" si="25"/>
        <v>Karachi Main</v>
      </c>
      <c r="E225" s="29" t="s">
        <v>73</v>
      </c>
      <c r="F225" s="29" t="str">
        <f t="shared" si="26"/>
        <v>Karachi</v>
      </c>
      <c r="G225" s="29" t="s">
        <v>74</v>
      </c>
      <c r="H225" s="29" t="str">
        <f t="shared" si="27"/>
        <v>Premium</v>
      </c>
      <c r="I225" s="29" t="s">
        <v>49</v>
      </c>
      <c r="J225" s="29" t="str">
        <f t="shared" si="28"/>
        <v>Savings</v>
      </c>
      <c r="K225" s="29" t="s">
        <v>69</v>
      </c>
      <c r="L225" s="29" t="str">
        <f t="shared" si="29"/>
        <v>Transfer</v>
      </c>
      <c r="M225" s="29" t="s">
        <v>83</v>
      </c>
      <c r="N225" s="29" t="str">
        <f t="shared" si="30"/>
        <v>Mobile App</v>
      </c>
      <c r="O225" s="29" t="s">
        <v>61</v>
      </c>
      <c r="P225" s="32">
        <v>158390.26</v>
      </c>
      <c r="Q225" s="32">
        <v>149.91</v>
      </c>
      <c r="R225" s="32" t="str">
        <f t="shared" si="31"/>
        <v>Completed</v>
      </c>
      <c r="S225" s="29" t="s">
        <v>45</v>
      </c>
      <c r="T225" s="29" t="s">
        <v>57</v>
      </c>
    </row>
    <row r="226" spans="1:20">
      <c r="A226" s="29" t="s">
        <v>305</v>
      </c>
      <c r="B226" s="33" t="str">
        <f t="shared" si="24"/>
        <v>01-25</v>
      </c>
      <c r="C226" s="30">
        <v>45664</v>
      </c>
      <c r="D226" s="31" t="str">
        <f t="shared" si="25"/>
        <v>Larkana</v>
      </c>
      <c r="E226" s="29" t="s">
        <v>48</v>
      </c>
      <c r="F226" s="29" t="str">
        <f t="shared" si="26"/>
        <v>Larkana</v>
      </c>
      <c r="G226" s="29" t="s">
        <v>48</v>
      </c>
      <c r="H226" s="29" t="str">
        <f t="shared" si="27"/>
        <v>Corporate</v>
      </c>
      <c r="I226" s="29" t="s">
        <v>64</v>
      </c>
      <c r="J226" s="29" t="str">
        <f t="shared" si="28"/>
        <v>Savings</v>
      </c>
      <c r="K226" s="29" t="s">
        <v>69</v>
      </c>
      <c r="L226" s="29" t="str">
        <f t="shared" si="29"/>
        <v>Transfer</v>
      </c>
      <c r="M226" s="29" t="s">
        <v>83</v>
      </c>
      <c r="N226" s="29" t="str">
        <f t="shared" si="30"/>
        <v>Mobile App</v>
      </c>
      <c r="O226" s="29" t="s">
        <v>61</v>
      </c>
      <c r="P226" s="32">
        <v>121372.97</v>
      </c>
      <c r="Q226" s="32">
        <v>148.76</v>
      </c>
      <c r="R226" s="32" t="str">
        <f t="shared" si="31"/>
        <v>Completed</v>
      </c>
      <c r="S226" s="29" t="s">
        <v>45</v>
      </c>
      <c r="T226" s="29" t="s">
        <v>46</v>
      </c>
    </row>
    <row r="227" spans="1:20">
      <c r="A227" s="29" t="s">
        <v>306</v>
      </c>
      <c r="B227" s="33" t="str">
        <f t="shared" si="24"/>
        <v>11-26</v>
      </c>
      <c r="C227" s="30">
        <v>46348</v>
      </c>
      <c r="D227" s="31" t="str">
        <f t="shared" si="25"/>
        <v>Nawabshah</v>
      </c>
      <c r="E227" s="29" t="s">
        <v>67</v>
      </c>
      <c r="F227" s="29" t="str">
        <f t="shared" si="26"/>
        <v>Shaheed Benazirabad</v>
      </c>
      <c r="G227" s="29" t="s">
        <v>68</v>
      </c>
      <c r="H227" s="29" t="str">
        <f t="shared" si="27"/>
        <v>Premium</v>
      </c>
      <c r="I227" s="29" t="s">
        <v>49</v>
      </c>
      <c r="J227" s="29" t="str">
        <f t="shared" si="28"/>
        <v>Current</v>
      </c>
      <c r="K227" s="29" t="s">
        <v>50</v>
      </c>
      <c r="L227" s="29" t="str">
        <f t="shared" si="29"/>
        <v>Transfer</v>
      </c>
      <c r="M227" s="29" t="s">
        <v>83</v>
      </c>
      <c r="N227" s="29" t="str">
        <f t="shared" si="30"/>
        <v>Atm</v>
      </c>
      <c r="O227" s="29" t="s">
        <v>52</v>
      </c>
      <c r="P227" s="32">
        <v>41055.160000000003</v>
      </c>
      <c r="Q227" s="32">
        <v>147.93</v>
      </c>
      <c r="R227" s="32" t="str">
        <f t="shared" si="31"/>
        <v>Completed</v>
      </c>
      <c r="S227" s="29" t="s">
        <v>45</v>
      </c>
      <c r="T227" s="29" t="s">
        <v>70</v>
      </c>
    </row>
    <row r="228" spans="1:20">
      <c r="A228" s="29" t="s">
        <v>307</v>
      </c>
      <c r="B228" s="33" t="str">
        <f t="shared" si="24"/>
        <v>12-25</v>
      </c>
      <c r="C228" s="30">
        <v>45996</v>
      </c>
      <c r="D228" s="31" t="str">
        <f t="shared" si="25"/>
        <v>Sukher</v>
      </c>
      <c r="E228" s="29" t="s">
        <v>408</v>
      </c>
      <c r="F228" s="29" t="str">
        <f t="shared" si="26"/>
        <v>Sukher</v>
      </c>
      <c r="G228" s="29" t="s">
        <v>408</v>
      </c>
      <c r="H228" s="29" t="str">
        <f t="shared" si="27"/>
        <v>Premium</v>
      </c>
      <c r="I228" s="29" t="s">
        <v>49</v>
      </c>
      <c r="J228" s="29" t="str">
        <f t="shared" si="28"/>
        <v>Salary</v>
      </c>
      <c r="K228" s="29" t="s">
        <v>56</v>
      </c>
      <c r="L228" s="29" t="str">
        <f t="shared" si="29"/>
        <v>Withdrawal</v>
      </c>
      <c r="M228" s="29" t="s">
        <v>60</v>
      </c>
      <c r="N228" s="29" t="str">
        <f t="shared" si="30"/>
        <v>Atm</v>
      </c>
      <c r="O228" s="29" t="s">
        <v>52</v>
      </c>
      <c r="P228" s="32">
        <v>17639.169999999998</v>
      </c>
      <c r="Q228" s="32">
        <v>0</v>
      </c>
      <c r="R228" s="32" t="str">
        <f t="shared" si="31"/>
        <v>Pending</v>
      </c>
      <c r="S228" s="29" t="s">
        <v>308</v>
      </c>
      <c r="T228" s="29" t="s">
        <v>57</v>
      </c>
    </row>
    <row r="229" spans="1:20">
      <c r="A229" s="29" t="s">
        <v>309</v>
      </c>
      <c r="B229" s="33" t="str">
        <f t="shared" si="24"/>
        <v>04-25</v>
      </c>
      <c r="C229" s="30">
        <v>45771</v>
      </c>
      <c r="D229" s="31" t="str">
        <f t="shared" si="25"/>
        <v>Nawabshah</v>
      </c>
      <c r="E229" s="29" t="s">
        <v>67</v>
      </c>
      <c r="F229" s="29" t="str">
        <f t="shared" si="26"/>
        <v>Shaheed Benazirabad</v>
      </c>
      <c r="G229" s="29" t="s">
        <v>68</v>
      </c>
      <c r="H229" s="29" t="str">
        <f t="shared" si="27"/>
        <v>Corporate</v>
      </c>
      <c r="I229" s="29" t="s">
        <v>64</v>
      </c>
      <c r="J229" s="29" t="str">
        <f t="shared" si="28"/>
        <v>Savings</v>
      </c>
      <c r="K229" s="29" t="s">
        <v>69</v>
      </c>
      <c r="L229" s="29" t="str">
        <f t="shared" si="29"/>
        <v>Bill Payment</v>
      </c>
      <c r="M229" s="29" t="s">
        <v>51</v>
      </c>
      <c r="N229" s="29" t="str">
        <f t="shared" si="30"/>
        <v>Branch</v>
      </c>
      <c r="O229" s="29" t="s">
        <v>30</v>
      </c>
      <c r="P229" s="32">
        <v>18116.13</v>
      </c>
      <c r="Q229" s="32">
        <v>93.97</v>
      </c>
      <c r="R229" s="32" t="str">
        <f t="shared" si="31"/>
        <v>Completed</v>
      </c>
      <c r="S229" s="29" t="s">
        <v>45</v>
      </c>
      <c r="T229" s="29" t="s">
        <v>53</v>
      </c>
    </row>
    <row r="230" spans="1:20">
      <c r="A230" s="29" t="s">
        <v>310</v>
      </c>
      <c r="B230" s="33" t="str">
        <f t="shared" si="24"/>
        <v>06-26</v>
      </c>
      <c r="C230" s="30">
        <v>46190</v>
      </c>
      <c r="D230" s="31" t="str">
        <f t="shared" si="25"/>
        <v>Karachi Main</v>
      </c>
      <c r="E230" s="29" t="s">
        <v>73</v>
      </c>
      <c r="F230" s="29" t="str">
        <f t="shared" si="26"/>
        <v>Karachi</v>
      </c>
      <c r="G230" s="29" t="s">
        <v>74</v>
      </c>
      <c r="H230" s="29" t="str">
        <f t="shared" si="27"/>
        <v>Premium</v>
      </c>
      <c r="I230" s="29" t="s">
        <v>49</v>
      </c>
      <c r="J230" s="29" t="str">
        <f t="shared" si="28"/>
        <v>Current</v>
      </c>
      <c r="K230" s="29" t="s">
        <v>50</v>
      </c>
      <c r="L230" s="29" t="str">
        <f t="shared" si="29"/>
        <v>Transfer</v>
      </c>
      <c r="M230" s="29" t="s">
        <v>83</v>
      </c>
      <c r="N230" s="29" t="str">
        <f t="shared" si="30"/>
        <v>Branch</v>
      </c>
      <c r="O230" s="29" t="s">
        <v>30</v>
      </c>
      <c r="P230" s="32">
        <v>46256.42</v>
      </c>
      <c r="Q230" s="32">
        <v>121.17</v>
      </c>
      <c r="R230" s="32" t="str">
        <f t="shared" si="31"/>
        <v>Completed</v>
      </c>
      <c r="S230" s="29" t="s">
        <v>45</v>
      </c>
      <c r="T230" s="29" t="s">
        <v>65</v>
      </c>
    </row>
    <row r="231" spans="1:20">
      <c r="A231" s="29" t="s">
        <v>311</v>
      </c>
      <c r="B231" s="33" t="str">
        <f t="shared" si="24"/>
        <v>11-25</v>
      </c>
      <c r="C231" s="30">
        <v>45972</v>
      </c>
      <c r="D231" s="31" t="str">
        <f t="shared" si="25"/>
        <v>Karachi Main</v>
      </c>
      <c r="E231" s="29" t="s">
        <v>73</v>
      </c>
      <c r="F231" s="29" t="str">
        <f t="shared" si="26"/>
        <v>Karachi</v>
      </c>
      <c r="G231" s="29" t="s">
        <v>74</v>
      </c>
      <c r="H231" s="29" t="str">
        <f t="shared" si="27"/>
        <v>Premium</v>
      </c>
      <c r="I231" s="29" t="s">
        <v>49</v>
      </c>
      <c r="J231" s="29" t="str">
        <f t="shared" si="28"/>
        <v>Salary</v>
      </c>
      <c r="K231" s="29" t="s">
        <v>56</v>
      </c>
      <c r="L231" s="29" t="str">
        <f t="shared" si="29"/>
        <v>Bill Payment</v>
      </c>
      <c r="M231" s="29" t="s">
        <v>51</v>
      </c>
      <c r="N231" s="29" t="str">
        <f t="shared" si="30"/>
        <v>Internet Banking</v>
      </c>
      <c r="O231" s="29" t="s">
        <v>78</v>
      </c>
      <c r="P231" s="32">
        <v>10145.48</v>
      </c>
      <c r="Q231" s="32">
        <v>90.95</v>
      </c>
      <c r="R231" s="32" t="str">
        <f t="shared" si="31"/>
        <v>Completed</v>
      </c>
      <c r="S231" s="29" t="s">
        <v>45</v>
      </c>
      <c r="T231" s="29" t="s">
        <v>65</v>
      </c>
    </row>
    <row r="232" spans="1:20">
      <c r="A232" s="29" t="s">
        <v>312</v>
      </c>
      <c r="B232" s="33" t="str">
        <f t="shared" si="24"/>
        <v>11-25</v>
      </c>
      <c r="C232" s="30">
        <v>45981</v>
      </c>
      <c r="D232" s="31" t="str">
        <f t="shared" si="25"/>
        <v>Karachi Main</v>
      </c>
      <c r="E232" s="29" t="s">
        <v>73</v>
      </c>
      <c r="F232" s="29" t="str">
        <f t="shared" si="26"/>
        <v>Karachi</v>
      </c>
      <c r="G232" s="29" t="s">
        <v>74</v>
      </c>
      <c r="H232" s="29" t="str">
        <f t="shared" si="27"/>
        <v>Premium</v>
      </c>
      <c r="I232" s="29" t="s">
        <v>49</v>
      </c>
      <c r="J232" s="29" t="str">
        <f t="shared" si="28"/>
        <v>Current</v>
      </c>
      <c r="K232" s="29" t="s">
        <v>50</v>
      </c>
      <c r="L232" s="29" t="str">
        <f t="shared" si="29"/>
        <v>Withdrawal</v>
      </c>
      <c r="M232" s="29" t="s">
        <v>60</v>
      </c>
      <c r="N232" s="29" t="str">
        <f t="shared" si="30"/>
        <v>Internet Banking</v>
      </c>
      <c r="O232" s="29" t="s">
        <v>78</v>
      </c>
      <c r="P232" s="32">
        <v>45461.71</v>
      </c>
      <c r="Q232" s="32">
        <v>0</v>
      </c>
      <c r="R232" s="32" t="str">
        <f t="shared" si="31"/>
        <v>Completed</v>
      </c>
      <c r="S232" s="29" t="s">
        <v>45</v>
      </c>
      <c r="T232" s="29" t="s">
        <v>53</v>
      </c>
    </row>
    <row r="233" spans="1:20">
      <c r="A233" s="29" t="s">
        <v>313</v>
      </c>
      <c r="B233" s="33" t="str">
        <f t="shared" si="24"/>
        <v>09-26</v>
      </c>
      <c r="C233" s="30">
        <v>46290</v>
      </c>
      <c r="D233" s="31" t="str">
        <f t="shared" si="25"/>
        <v>Sukher</v>
      </c>
      <c r="E233" s="29" t="s">
        <v>408</v>
      </c>
      <c r="F233" s="29" t="str">
        <f t="shared" si="26"/>
        <v>Sukher</v>
      </c>
      <c r="G233" s="29" t="s">
        <v>408</v>
      </c>
      <c r="H233" s="29" t="str">
        <f t="shared" si="27"/>
        <v>Premium</v>
      </c>
      <c r="I233" s="29" t="s">
        <v>49</v>
      </c>
      <c r="J233" s="29" t="str">
        <f t="shared" si="28"/>
        <v>Salary</v>
      </c>
      <c r="K233" s="29" t="s">
        <v>56</v>
      </c>
      <c r="L233" s="29" t="str">
        <f t="shared" si="29"/>
        <v>Bill Payment</v>
      </c>
      <c r="M233" s="29" t="s">
        <v>51</v>
      </c>
      <c r="N233" s="29" t="str">
        <f t="shared" si="30"/>
        <v>Branch</v>
      </c>
      <c r="O233" s="29" t="s">
        <v>30</v>
      </c>
      <c r="P233" s="32">
        <v>6526.47</v>
      </c>
      <c r="Q233" s="32">
        <v>81.63</v>
      </c>
      <c r="R233" s="32" t="str">
        <f t="shared" si="31"/>
        <v>Completed</v>
      </c>
      <c r="S233" s="29" t="s">
        <v>45</v>
      </c>
      <c r="T233" s="29" t="s">
        <v>53</v>
      </c>
    </row>
    <row r="234" spans="1:20">
      <c r="A234" s="29" t="s">
        <v>314</v>
      </c>
      <c r="B234" s="33" t="str">
        <f t="shared" si="24"/>
        <v>05-25</v>
      </c>
      <c r="C234" s="30">
        <v>45804</v>
      </c>
      <c r="D234" s="31" t="str">
        <f t="shared" si="25"/>
        <v>Karachi Main</v>
      </c>
      <c r="E234" s="29" t="s">
        <v>73</v>
      </c>
      <c r="F234" s="29" t="str">
        <f t="shared" si="26"/>
        <v>Karachi</v>
      </c>
      <c r="G234" s="29" t="s">
        <v>74</v>
      </c>
      <c r="H234" s="29" t="str">
        <f t="shared" si="27"/>
        <v>Corporate</v>
      </c>
      <c r="I234" s="29" t="s">
        <v>64</v>
      </c>
      <c r="J234" s="29" t="str">
        <f t="shared" si="28"/>
        <v>Savings</v>
      </c>
      <c r="K234" s="29" t="s">
        <v>69</v>
      </c>
      <c r="L234" s="29" t="str">
        <f t="shared" si="29"/>
        <v>Withdrawal</v>
      </c>
      <c r="M234" s="29" t="s">
        <v>60</v>
      </c>
      <c r="N234" s="29" t="str">
        <f t="shared" si="30"/>
        <v>Internet Banking</v>
      </c>
      <c r="O234" s="29" t="s">
        <v>78</v>
      </c>
      <c r="P234" s="32">
        <v>68307.13</v>
      </c>
      <c r="Q234" s="32">
        <v>0</v>
      </c>
      <c r="R234" s="32" t="str">
        <f t="shared" si="31"/>
        <v>Completed</v>
      </c>
      <c r="S234" s="29" t="s">
        <v>45</v>
      </c>
      <c r="T234" s="29" t="s">
        <v>65</v>
      </c>
    </row>
    <row r="235" spans="1:20">
      <c r="A235" s="29" t="s">
        <v>315</v>
      </c>
      <c r="B235" s="33" t="str">
        <f t="shared" si="24"/>
        <v>05-25</v>
      </c>
      <c r="C235" s="30">
        <v>45802</v>
      </c>
      <c r="D235" s="31" t="str">
        <f t="shared" si="25"/>
        <v>Nawabshah</v>
      </c>
      <c r="E235" s="29" t="s">
        <v>67</v>
      </c>
      <c r="F235" s="29" t="str">
        <f t="shared" si="26"/>
        <v>Shaheed Benazirabad</v>
      </c>
      <c r="G235" s="29" t="s">
        <v>68</v>
      </c>
      <c r="H235" s="29" t="str">
        <f t="shared" si="27"/>
        <v>Premium</v>
      </c>
      <c r="I235" s="29" t="s">
        <v>49</v>
      </c>
      <c r="J235" s="29" t="str">
        <f t="shared" si="28"/>
        <v>Salary</v>
      </c>
      <c r="K235" s="29" t="s">
        <v>56</v>
      </c>
      <c r="L235" s="29" t="str">
        <f t="shared" si="29"/>
        <v>Transfer</v>
      </c>
      <c r="M235" s="29" t="s">
        <v>83</v>
      </c>
      <c r="N235" s="29" t="str">
        <f t="shared" si="30"/>
        <v>Mobile App</v>
      </c>
      <c r="O235" s="29" t="s">
        <v>61</v>
      </c>
      <c r="P235" s="32">
        <v>100020.21</v>
      </c>
      <c r="Q235" s="32">
        <v>114</v>
      </c>
      <c r="R235" s="32" t="str">
        <f t="shared" si="31"/>
        <v>Completed</v>
      </c>
      <c r="S235" s="29" t="s">
        <v>45</v>
      </c>
      <c r="T235" s="29" t="s">
        <v>75</v>
      </c>
    </row>
    <row r="236" spans="1:20">
      <c r="A236" s="29" t="s">
        <v>316</v>
      </c>
      <c r="B236" s="33" t="str">
        <f t="shared" si="24"/>
        <v>03-26</v>
      </c>
      <c r="C236" s="30">
        <v>46091</v>
      </c>
      <c r="D236" s="31" t="str">
        <f t="shared" si="25"/>
        <v>Hyderabad</v>
      </c>
      <c r="E236" s="29" t="s">
        <v>63</v>
      </c>
      <c r="F236" s="29" t="str">
        <f t="shared" si="26"/>
        <v>Hyderabad</v>
      </c>
      <c r="G236" s="29" t="s">
        <v>63</v>
      </c>
      <c r="H236" s="29" t="str">
        <f t="shared" si="27"/>
        <v>Premium</v>
      </c>
      <c r="I236" s="29" t="s">
        <v>49</v>
      </c>
      <c r="J236" s="29" t="str">
        <f t="shared" si="28"/>
        <v>Current</v>
      </c>
      <c r="K236" s="29" t="s">
        <v>50</v>
      </c>
      <c r="L236" s="29" t="str">
        <f t="shared" si="29"/>
        <v>Transfer</v>
      </c>
      <c r="M236" s="29" t="s">
        <v>83</v>
      </c>
      <c r="N236" s="29" t="str">
        <f t="shared" si="30"/>
        <v>Atm</v>
      </c>
      <c r="O236" s="29" t="s">
        <v>52</v>
      </c>
      <c r="P236" s="32">
        <v>5516.37</v>
      </c>
      <c r="Q236" s="32">
        <v>65.12</v>
      </c>
      <c r="R236" s="32" t="str">
        <f t="shared" si="31"/>
        <v>Completed</v>
      </c>
      <c r="S236" s="29" t="s">
        <v>45</v>
      </c>
      <c r="T236" s="29" t="s">
        <v>70</v>
      </c>
    </row>
    <row r="237" spans="1:20">
      <c r="A237" s="29" t="s">
        <v>317</v>
      </c>
      <c r="B237" s="33" t="str">
        <f t="shared" si="24"/>
        <v>05-25</v>
      </c>
      <c r="C237" s="30">
        <v>45791</v>
      </c>
      <c r="D237" s="31" t="str">
        <f t="shared" si="25"/>
        <v>Hyderabad</v>
      </c>
      <c r="E237" s="29" t="s">
        <v>63</v>
      </c>
      <c r="F237" s="29" t="str">
        <f t="shared" si="26"/>
        <v>Hyderabad</v>
      </c>
      <c r="G237" s="29" t="s">
        <v>63</v>
      </c>
      <c r="H237" s="29" t="str">
        <f t="shared" si="27"/>
        <v>Retail</v>
      </c>
      <c r="I237" s="29" t="s">
        <v>41</v>
      </c>
      <c r="J237" s="29" t="str">
        <f t="shared" si="28"/>
        <v>Current</v>
      </c>
      <c r="K237" s="29" t="s">
        <v>50</v>
      </c>
      <c r="L237" s="29" t="str">
        <f t="shared" si="29"/>
        <v>Bill Payment</v>
      </c>
      <c r="M237" s="29" t="s">
        <v>51</v>
      </c>
      <c r="N237" s="29" t="str">
        <f t="shared" si="30"/>
        <v>Atm</v>
      </c>
      <c r="O237" s="29" t="s">
        <v>52</v>
      </c>
      <c r="P237" s="32">
        <v>27687.95</v>
      </c>
      <c r="Q237" s="32">
        <v>38.56</v>
      </c>
      <c r="R237" s="32" t="str">
        <f t="shared" si="31"/>
        <v>Completed</v>
      </c>
      <c r="S237" s="29" t="s">
        <v>45</v>
      </c>
      <c r="T237" s="29" t="s">
        <v>57</v>
      </c>
    </row>
    <row r="238" spans="1:20">
      <c r="A238" s="29" t="s">
        <v>318</v>
      </c>
      <c r="B238" s="33" t="str">
        <f t="shared" si="24"/>
        <v>11-25</v>
      </c>
      <c r="C238" s="30">
        <v>45974</v>
      </c>
      <c r="D238" s="31" t="str">
        <f t="shared" si="25"/>
        <v>Karachi Main</v>
      </c>
      <c r="E238" s="29" t="s">
        <v>73</v>
      </c>
      <c r="F238" s="29" t="str">
        <f t="shared" si="26"/>
        <v>Karachi</v>
      </c>
      <c r="G238" s="29" t="s">
        <v>74</v>
      </c>
      <c r="H238" s="29" t="str">
        <f t="shared" si="27"/>
        <v>Sme</v>
      </c>
      <c r="I238" s="29" t="s">
        <v>55</v>
      </c>
      <c r="J238" s="29" t="str">
        <f t="shared" si="28"/>
        <v>Current</v>
      </c>
      <c r="K238" s="29" t="s">
        <v>50</v>
      </c>
      <c r="L238" s="29" t="str">
        <f t="shared" si="29"/>
        <v>Bill Payment</v>
      </c>
      <c r="M238" s="29" t="s">
        <v>51</v>
      </c>
      <c r="N238" s="29" t="str">
        <f t="shared" si="30"/>
        <v>Internet Banking</v>
      </c>
      <c r="O238" s="29" t="s">
        <v>78</v>
      </c>
      <c r="P238" s="32">
        <v>10778.25</v>
      </c>
      <c r="Q238" s="32">
        <v>14.81</v>
      </c>
      <c r="R238" s="32" t="str">
        <f t="shared" si="31"/>
        <v>Completed</v>
      </c>
      <c r="S238" s="29" t="s">
        <v>45</v>
      </c>
      <c r="T238" s="29" t="s">
        <v>65</v>
      </c>
    </row>
    <row r="239" spans="1:20">
      <c r="A239" s="29" t="s">
        <v>319</v>
      </c>
      <c r="B239" s="33" t="str">
        <f t="shared" si="24"/>
        <v>09-26</v>
      </c>
      <c r="C239" s="30">
        <v>46283</v>
      </c>
      <c r="D239" s="31" t="str">
        <f t="shared" si="25"/>
        <v>Larkana</v>
      </c>
      <c r="E239" s="29" t="s">
        <v>48</v>
      </c>
      <c r="F239" s="29" t="str">
        <f t="shared" si="26"/>
        <v>Larkana</v>
      </c>
      <c r="G239" s="29" t="s">
        <v>48</v>
      </c>
      <c r="H239" s="29" t="str">
        <f t="shared" si="27"/>
        <v>Sme</v>
      </c>
      <c r="I239" s="29" t="s">
        <v>55</v>
      </c>
      <c r="J239" s="29" t="str">
        <f t="shared" si="28"/>
        <v>Salary</v>
      </c>
      <c r="K239" s="29" t="s">
        <v>56</v>
      </c>
      <c r="L239" s="29" t="str">
        <f t="shared" si="29"/>
        <v>Bill Payment</v>
      </c>
      <c r="M239" s="29" t="s">
        <v>51</v>
      </c>
      <c r="N239" s="29" t="str">
        <f t="shared" si="30"/>
        <v>Branch</v>
      </c>
      <c r="O239" s="29" t="s">
        <v>30</v>
      </c>
      <c r="P239" s="32">
        <v>26554.94</v>
      </c>
      <c r="Q239" s="32">
        <v>34.369999999999997</v>
      </c>
      <c r="R239" s="32" t="str">
        <f t="shared" si="31"/>
        <v>Completed</v>
      </c>
      <c r="S239" s="29" t="s">
        <v>45</v>
      </c>
      <c r="T239" s="29" t="s">
        <v>57</v>
      </c>
    </row>
    <row r="240" spans="1:20">
      <c r="A240" s="29" t="s">
        <v>320</v>
      </c>
      <c r="B240" s="33" t="str">
        <f t="shared" si="24"/>
        <v>01-25</v>
      </c>
      <c r="C240" s="30">
        <v>45683</v>
      </c>
      <c r="D240" s="31" t="str">
        <f t="shared" si="25"/>
        <v>Sukher</v>
      </c>
      <c r="E240" s="29" t="s">
        <v>408</v>
      </c>
      <c r="F240" s="29" t="str">
        <f t="shared" si="26"/>
        <v>Sukher</v>
      </c>
      <c r="G240" s="29" t="s">
        <v>408</v>
      </c>
      <c r="H240" s="29" t="str">
        <f t="shared" si="27"/>
        <v>Retail</v>
      </c>
      <c r="I240" s="29" t="s">
        <v>77</v>
      </c>
      <c r="J240" s="29" t="str">
        <f t="shared" si="28"/>
        <v>Salary</v>
      </c>
      <c r="K240" s="29" t="s">
        <v>56</v>
      </c>
      <c r="L240" s="29" t="str">
        <f t="shared" si="29"/>
        <v>Withdrawal</v>
      </c>
      <c r="M240" s="29" t="s">
        <v>60</v>
      </c>
      <c r="N240" s="29" t="str">
        <f t="shared" si="30"/>
        <v>Atm</v>
      </c>
      <c r="O240" s="29" t="s">
        <v>52</v>
      </c>
      <c r="P240" s="32">
        <v>73286.03</v>
      </c>
      <c r="Q240" s="32">
        <v>0</v>
      </c>
      <c r="R240" s="32" t="str">
        <f t="shared" si="31"/>
        <v>Completed</v>
      </c>
      <c r="S240" s="29" t="s">
        <v>45</v>
      </c>
      <c r="T240" s="29" t="s">
        <v>57</v>
      </c>
    </row>
    <row r="241" spans="1:20">
      <c r="A241" s="29" t="s">
        <v>321</v>
      </c>
      <c r="B241" s="33" t="str">
        <f t="shared" si="24"/>
        <v>10-25</v>
      </c>
      <c r="C241" s="30">
        <v>45952</v>
      </c>
      <c r="D241" s="31" t="str">
        <f t="shared" si="25"/>
        <v>Sukher</v>
      </c>
      <c r="E241" s="29" t="s">
        <v>408</v>
      </c>
      <c r="F241" s="29" t="str">
        <f t="shared" si="26"/>
        <v>Sukher</v>
      </c>
      <c r="G241" s="29" t="s">
        <v>408</v>
      </c>
      <c r="H241" s="29" t="str">
        <f t="shared" si="27"/>
        <v>Corporate</v>
      </c>
      <c r="I241" s="29" t="s">
        <v>64</v>
      </c>
      <c r="J241" s="29" t="str">
        <f t="shared" si="28"/>
        <v>Salary</v>
      </c>
      <c r="K241" s="29" t="s">
        <v>56</v>
      </c>
      <c r="L241" s="29" t="str">
        <f t="shared" si="29"/>
        <v>Bill Payment</v>
      </c>
      <c r="M241" s="29" t="s">
        <v>51</v>
      </c>
      <c r="N241" s="29" t="str">
        <f t="shared" si="30"/>
        <v>Internet Banking</v>
      </c>
      <c r="O241" s="29" t="s">
        <v>78</v>
      </c>
      <c r="P241" s="32">
        <v>635.1</v>
      </c>
      <c r="Q241" s="32">
        <v>44.76</v>
      </c>
      <c r="R241" s="32" t="str">
        <f t="shared" si="31"/>
        <v>Completed</v>
      </c>
      <c r="S241" s="29" t="s">
        <v>45</v>
      </c>
      <c r="T241" s="29" t="s">
        <v>53</v>
      </c>
    </row>
    <row r="242" spans="1:20">
      <c r="A242" s="29" t="s">
        <v>322</v>
      </c>
      <c r="B242" s="33" t="str">
        <f t="shared" si="24"/>
        <v>12-26</v>
      </c>
      <c r="C242" s="30">
        <v>46358</v>
      </c>
      <c r="D242" s="31" t="str">
        <f t="shared" si="25"/>
        <v>Sukher</v>
      </c>
      <c r="E242" s="29" t="s">
        <v>408</v>
      </c>
      <c r="F242" s="29" t="str">
        <f t="shared" si="26"/>
        <v>Sukher</v>
      </c>
      <c r="G242" s="29" t="s">
        <v>408</v>
      </c>
      <c r="H242" s="29" t="str">
        <f t="shared" si="27"/>
        <v>Retail</v>
      </c>
      <c r="I242" s="29" t="s">
        <v>77</v>
      </c>
      <c r="J242" s="29" t="str">
        <f t="shared" si="28"/>
        <v>Current</v>
      </c>
      <c r="K242" s="29" t="s">
        <v>50</v>
      </c>
      <c r="L242" s="29" t="str">
        <f t="shared" si="29"/>
        <v>Deposit</v>
      </c>
      <c r="M242" s="29" t="s">
        <v>43</v>
      </c>
      <c r="N242" s="29" t="str">
        <f t="shared" si="30"/>
        <v>Branch</v>
      </c>
      <c r="O242" s="29" t="s">
        <v>30</v>
      </c>
      <c r="P242" s="32">
        <v>97515.05</v>
      </c>
      <c r="Q242" s="32">
        <v>0</v>
      </c>
      <c r="R242" s="32" t="str">
        <f t="shared" si="31"/>
        <v>Completed</v>
      </c>
      <c r="S242" s="29" t="s">
        <v>45</v>
      </c>
      <c r="T242" s="29" t="s">
        <v>53</v>
      </c>
    </row>
    <row r="243" spans="1:20">
      <c r="A243" s="29" t="s">
        <v>323</v>
      </c>
      <c r="B243" s="33" t="str">
        <f t="shared" si="24"/>
        <v>03-25</v>
      </c>
      <c r="C243" s="30">
        <v>45727</v>
      </c>
      <c r="D243" s="31" t="str">
        <f t="shared" si="25"/>
        <v>Larkana</v>
      </c>
      <c r="E243" s="29" t="s">
        <v>48</v>
      </c>
      <c r="F243" s="29" t="str">
        <f t="shared" si="26"/>
        <v>Larkana</v>
      </c>
      <c r="G243" s="29" t="s">
        <v>48</v>
      </c>
      <c r="H243" s="29" t="str">
        <f t="shared" si="27"/>
        <v>Premium</v>
      </c>
      <c r="I243" s="29" t="s">
        <v>49</v>
      </c>
      <c r="J243" s="29" t="str">
        <f t="shared" si="28"/>
        <v>Current</v>
      </c>
      <c r="K243" s="29" t="s">
        <v>50</v>
      </c>
      <c r="L243" s="29" t="str">
        <f t="shared" si="29"/>
        <v>Bill Payment</v>
      </c>
      <c r="M243" s="29" t="s">
        <v>51</v>
      </c>
      <c r="N243" s="29" t="str">
        <f t="shared" si="30"/>
        <v>Branch</v>
      </c>
      <c r="O243" s="29" t="s">
        <v>30</v>
      </c>
      <c r="P243" s="32">
        <v>5289.32</v>
      </c>
      <c r="Q243" s="32">
        <v>25.86</v>
      </c>
      <c r="R243" s="32" t="str">
        <f t="shared" si="31"/>
        <v>Completed</v>
      </c>
      <c r="S243" s="29" t="s">
        <v>45</v>
      </c>
      <c r="T243" s="29" t="s">
        <v>75</v>
      </c>
    </row>
    <row r="244" spans="1:20">
      <c r="A244" s="29" t="s">
        <v>324</v>
      </c>
      <c r="B244" s="33" t="str">
        <f t="shared" si="24"/>
        <v>03-25</v>
      </c>
      <c r="C244" s="30">
        <v>45741</v>
      </c>
      <c r="D244" s="31" t="str">
        <f t="shared" si="25"/>
        <v>Karachi Main</v>
      </c>
      <c r="E244" s="29" t="s">
        <v>73</v>
      </c>
      <c r="F244" s="29" t="str">
        <f t="shared" si="26"/>
        <v>Karachi</v>
      </c>
      <c r="G244" s="29" t="s">
        <v>74</v>
      </c>
      <c r="H244" s="29" t="str">
        <f t="shared" si="27"/>
        <v>Corporate</v>
      </c>
      <c r="I244" s="29" t="s">
        <v>64</v>
      </c>
      <c r="J244" s="29" t="str">
        <f t="shared" si="28"/>
        <v>Savings</v>
      </c>
      <c r="K244" s="29" t="s">
        <v>69</v>
      </c>
      <c r="L244" s="29" t="str">
        <f t="shared" si="29"/>
        <v>Withdrawal</v>
      </c>
      <c r="M244" s="29" t="s">
        <v>60</v>
      </c>
      <c r="N244" s="29" t="str">
        <f t="shared" si="30"/>
        <v>Branch</v>
      </c>
      <c r="O244" s="29" t="s">
        <v>30</v>
      </c>
      <c r="P244" s="32">
        <v>21666.03</v>
      </c>
      <c r="Q244" s="32">
        <v>0</v>
      </c>
      <c r="R244" s="32" t="str">
        <f t="shared" si="31"/>
        <v>Pending</v>
      </c>
      <c r="S244" s="29" t="s">
        <v>84</v>
      </c>
      <c r="T244" s="29" t="s">
        <v>53</v>
      </c>
    </row>
    <row r="245" spans="1:20">
      <c r="A245" s="29" t="s">
        <v>325</v>
      </c>
      <c r="B245" s="33" t="str">
        <f t="shared" si="24"/>
        <v>08-26</v>
      </c>
      <c r="C245" s="30">
        <v>46248</v>
      </c>
      <c r="D245" s="31" t="str">
        <f t="shared" si="25"/>
        <v>Sukher</v>
      </c>
      <c r="E245" s="29" t="s">
        <v>408</v>
      </c>
      <c r="F245" s="29" t="str">
        <f t="shared" si="26"/>
        <v>Sukher</v>
      </c>
      <c r="G245" s="29" t="s">
        <v>408</v>
      </c>
      <c r="H245" s="29" t="str">
        <f t="shared" si="27"/>
        <v>Premium</v>
      </c>
      <c r="I245" s="29" t="s">
        <v>49</v>
      </c>
      <c r="J245" s="29" t="str">
        <f t="shared" si="28"/>
        <v>Current</v>
      </c>
      <c r="K245" s="29" t="s">
        <v>50</v>
      </c>
      <c r="L245" s="29" t="str">
        <f t="shared" si="29"/>
        <v>Bill Payment</v>
      </c>
      <c r="M245" s="29" t="s">
        <v>51</v>
      </c>
      <c r="N245" s="29" t="str">
        <f t="shared" si="30"/>
        <v>Atm</v>
      </c>
      <c r="O245" s="29" t="s">
        <v>52</v>
      </c>
      <c r="P245" s="32">
        <v>2600.75</v>
      </c>
      <c r="Q245" s="32">
        <v>25.48</v>
      </c>
      <c r="R245" s="32" t="str">
        <f t="shared" si="31"/>
        <v>Completed</v>
      </c>
      <c r="S245" s="29" t="s">
        <v>45</v>
      </c>
      <c r="T245" s="29" t="s">
        <v>46</v>
      </c>
    </row>
    <row r="246" spans="1:20">
      <c r="A246" s="29" t="s">
        <v>326</v>
      </c>
      <c r="B246" s="33" t="str">
        <f t="shared" si="24"/>
        <v>09-25</v>
      </c>
      <c r="C246" s="30">
        <v>45922</v>
      </c>
      <c r="D246" s="31" t="str">
        <f t="shared" si="25"/>
        <v>Larkana</v>
      </c>
      <c r="E246" s="29" t="s">
        <v>48</v>
      </c>
      <c r="F246" s="29" t="str">
        <f t="shared" si="26"/>
        <v>Larkana</v>
      </c>
      <c r="G246" s="29" t="s">
        <v>48</v>
      </c>
      <c r="H246" s="29" t="str">
        <f t="shared" si="27"/>
        <v>Sme</v>
      </c>
      <c r="I246" s="29" t="s">
        <v>55</v>
      </c>
      <c r="J246" s="29" t="str">
        <f t="shared" si="28"/>
        <v>Savings</v>
      </c>
      <c r="K246" s="29" t="s">
        <v>69</v>
      </c>
      <c r="L246" s="29" t="str">
        <f t="shared" si="29"/>
        <v>Withdrawal</v>
      </c>
      <c r="M246" s="29" t="s">
        <v>60</v>
      </c>
      <c r="N246" s="29" t="str">
        <f t="shared" si="30"/>
        <v>Mobile App</v>
      </c>
      <c r="O246" s="29" t="s">
        <v>61</v>
      </c>
      <c r="P246" s="32">
        <v>52258.25</v>
      </c>
      <c r="Q246" s="32">
        <v>0</v>
      </c>
      <c r="R246" s="32" t="str">
        <f t="shared" si="31"/>
        <v>Completed</v>
      </c>
      <c r="S246" s="29" t="s">
        <v>45</v>
      </c>
      <c r="T246" s="29" t="s">
        <v>57</v>
      </c>
    </row>
    <row r="247" spans="1:20">
      <c r="A247" s="29" t="s">
        <v>327</v>
      </c>
      <c r="B247" s="33" t="str">
        <f t="shared" si="24"/>
        <v>01-25</v>
      </c>
      <c r="C247" s="30">
        <v>45681</v>
      </c>
      <c r="D247" s="31" t="str">
        <f t="shared" si="25"/>
        <v>Sukher</v>
      </c>
      <c r="E247" s="29" t="s">
        <v>408</v>
      </c>
      <c r="F247" s="29" t="str">
        <f t="shared" si="26"/>
        <v>Sukher</v>
      </c>
      <c r="G247" s="29" t="s">
        <v>408</v>
      </c>
      <c r="H247" s="29" t="str">
        <f t="shared" si="27"/>
        <v>Corporate</v>
      </c>
      <c r="I247" s="29" t="s">
        <v>64</v>
      </c>
      <c r="J247" s="29" t="str">
        <f t="shared" si="28"/>
        <v>Salary</v>
      </c>
      <c r="K247" s="29" t="s">
        <v>56</v>
      </c>
      <c r="L247" s="29" t="str">
        <f t="shared" si="29"/>
        <v>Withdrawal</v>
      </c>
      <c r="M247" s="29" t="s">
        <v>60</v>
      </c>
      <c r="N247" s="29" t="str">
        <f t="shared" si="30"/>
        <v>Atm</v>
      </c>
      <c r="O247" s="29" t="s">
        <v>52</v>
      </c>
      <c r="P247" s="32">
        <v>7592.37</v>
      </c>
      <c r="Q247" s="32">
        <v>0</v>
      </c>
      <c r="R247" s="32" t="str">
        <f t="shared" si="31"/>
        <v>Completed</v>
      </c>
      <c r="S247" s="29" t="s">
        <v>45</v>
      </c>
      <c r="T247" s="29" t="s">
        <v>57</v>
      </c>
    </row>
    <row r="248" spans="1:20">
      <c r="A248" s="29" t="s">
        <v>328</v>
      </c>
      <c r="B248" s="33" t="str">
        <f t="shared" si="24"/>
        <v>04-26</v>
      </c>
      <c r="C248" s="30">
        <v>46136</v>
      </c>
      <c r="D248" s="31" t="str">
        <f t="shared" si="25"/>
        <v>Sukher</v>
      </c>
      <c r="E248" s="29" t="s">
        <v>408</v>
      </c>
      <c r="F248" s="29" t="str">
        <f t="shared" si="26"/>
        <v>Sukher</v>
      </c>
      <c r="G248" s="29" t="s">
        <v>408</v>
      </c>
      <c r="H248" s="29" t="str">
        <f t="shared" si="27"/>
        <v>Sme</v>
      </c>
      <c r="I248" s="29" t="s">
        <v>55</v>
      </c>
      <c r="J248" s="29" t="str">
        <f t="shared" si="28"/>
        <v>Current</v>
      </c>
      <c r="K248" s="29" t="s">
        <v>50</v>
      </c>
      <c r="L248" s="29" t="str">
        <f t="shared" si="29"/>
        <v>Withdrawal</v>
      </c>
      <c r="M248" s="29" t="s">
        <v>60</v>
      </c>
      <c r="N248" s="29" t="str">
        <f t="shared" si="30"/>
        <v>Internet Banking</v>
      </c>
      <c r="O248" s="29" t="s">
        <v>78</v>
      </c>
      <c r="P248" s="32">
        <v>10797.28</v>
      </c>
      <c r="Q248" s="32">
        <v>0</v>
      </c>
      <c r="R248" s="32" t="str">
        <f t="shared" si="31"/>
        <v>Completed</v>
      </c>
      <c r="S248" s="29" t="s">
        <v>45</v>
      </c>
      <c r="T248" s="29" t="s">
        <v>57</v>
      </c>
    </row>
    <row r="249" spans="1:20">
      <c r="A249" s="29" t="s">
        <v>329</v>
      </c>
      <c r="B249" s="33" t="str">
        <f t="shared" si="24"/>
        <v>11-25</v>
      </c>
      <c r="C249" s="30">
        <v>45972</v>
      </c>
      <c r="D249" s="31" t="str">
        <f t="shared" si="25"/>
        <v>Larkana</v>
      </c>
      <c r="E249" s="29" t="s">
        <v>48</v>
      </c>
      <c r="F249" s="29" t="str">
        <f t="shared" si="26"/>
        <v>Larkana</v>
      </c>
      <c r="G249" s="29" t="s">
        <v>48</v>
      </c>
      <c r="H249" s="29" t="str">
        <f t="shared" si="27"/>
        <v>Retail</v>
      </c>
      <c r="I249" s="29" t="s">
        <v>77</v>
      </c>
      <c r="J249" s="29" t="str">
        <f t="shared" si="28"/>
        <v>Savings</v>
      </c>
      <c r="K249" s="29" t="s">
        <v>69</v>
      </c>
      <c r="L249" s="29" t="str">
        <f t="shared" si="29"/>
        <v>Withdrawal</v>
      </c>
      <c r="M249" s="29" t="s">
        <v>60</v>
      </c>
      <c r="N249" s="29" t="str">
        <f t="shared" si="30"/>
        <v>Internet Banking</v>
      </c>
      <c r="O249" s="29" t="s">
        <v>78</v>
      </c>
      <c r="P249" s="32">
        <v>43434.41</v>
      </c>
      <c r="Q249" s="32">
        <v>0</v>
      </c>
      <c r="R249" s="32" t="str">
        <f t="shared" si="31"/>
        <v>Completed</v>
      </c>
      <c r="S249" s="29" t="s">
        <v>45</v>
      </c>
      <c r="T249" s="29" t="s">
        <v>53</v>
      </c>
    </row>
    <row r="250" spans="1:20">
      <c r="A250" s="29" t="s">
        <v>330</v>
      </c>
      <c r="B250" s="33" t="str">
        <f t="shared" si="24"/>
        <v>02-25</v>
      </c>
      <c r="C250" s="30">
        <v>45707</v>
      </c>
      <c r="D250" s="31" t="str">
        <f t="shared" si="25"/>
        <v>Hyderabad</v>
      </c>
      <c r="E250" s="29" t="s">
        <v>63</v>
      </c>
      <c r="F250" s="29" t="str">
        <f t="shared" si="26"/>
        <v>Hyderabad</v>
      </c>
      <c r="G250" s="29" t="s">
        <v>63</v>
      </c>
      <c r="H250" s="29" t="str">
        <f t="shared" si="27"/>
        <v>Premium</v>
      </c>
      <c r="I250" s="29" t="s">
        <v>49</v>
      </c>
      <c r="J250" s="29" t="str">
        <f t="shared" si="28"/>
        <v>Savings</v>
      </c>
      <c r="K250" s="29" t="s">
        <v>69</v>
      </c>
      <c r="L250" s="29" t="str">
        <f t="shared" si="29"/>
        <v>Deposit</v>
      </c>
      <c r="M250" s="29" t="s">
        <v>43</v>
      </c>
      <c r="N250" s="29" t="str">
        <f t="shared" si="30"/>
        <v>Mobile App</v>
      </c>
      <c r="O250" s="29" t="s">
        <v>61</v>
      </c>
      <c r="P250" s="32">
        <v>58136.49</v>
      </c>
      <c r="Q250" s="32">
        <v>0</v>
      </c>
      <c r="R250" s="32" t="str">
        <f t="shared" si="31"/>
        <v>Completed</v>
      </c>
      <c r="S250" s="29" t="s">
        <v>45</v>
      </c>
      <c r="T250" s="29" t="s">
        <v>75</v>
      </c>
    </row>
    <row r="251" spans="1:20">
      <c r="A251" s="29" t="s">
        <v>331</v>
      </c>
      <c r="B251" s="33" t="str">
        <f t="shared" si="24"/>
        <v>05-26</v>
      </c>
      <c r="C251" s="30">
        <v>46149</v>
      </c>
      <c r="D251" s="31" t="str">
        <f t="shared" si="25"/>
        <v>Karachi Main</v>
      </c>
      <c r="E251" s="29" t="s">
        <v>73</v>
      </c>
      <c r="F251" s="29" t="str">
        <f t="shared" si="26"/>
        <v>Karachi</v>
      </c>
      <c r="G251" s="29" t="s">
        <v>74</v>
      </c>
      <c r="H251" s="29" t="str">
        <f t="shared" si="27"/>
        <v>Sme</v>
      </c>
      <c r="I251" s="29" t="s">
        <v>55</v>
      </c>
      <c r="J251" s="29" t="str">
        <f t="shared" si="28"/>
        <v>Salary</v>
      </c>
      <c r="K251" s="29" t="s">
        <v>56</v>
      </c>
      <c r="L251" s="29" t="str">
        <f t="shared" si="29"/>
        <v>Transfer</v>
      </c>
      <c r="M251" s="29" t="s">
        <v>83</v>
      </c>
      <c r="N251" s="29" t="str">
        <f t="shared" si="30"/>
        <v>Internet Banking</v>
      </c>
      <c r="O251" s="29" t="s">
        <v>78</v>
      </c>
      <c r="P251" s="32">
        <v>133739.98000000001</v>
      </c>
      <c r="Q251" s="32">
        <v>66.77</v>
      </c>
      <c r="R251" s="32" t="str">
        <f t="shared" si="31"/>
        <v>Completed</v>
      </c>
      <c r="S251" s="29" t="s">
        <v>45</v>
      </c>
      <c r="T251" s="29" t="s">
        <v>57</v>
      </c>
    </row>
    <row r="252" spans="1:20">
      <c r="A252" s="29" t="s">
        <v>332</v>
      </c>
      <c r="B252" s="33" t="str">
        <f t="shared" si="24"/>
        <v>08-25</v>
      </c>
      <c r="C252" s="30">
        <v>45878</v>
      </c>
      <c r="D252" s="31" t="str">
        <f t="shared" si="25"/>
        <v>Sukher</v>
      </c>
      <c r="E252" s="29" t="s">
        <v>408</v>
      </c>
      <c r="F252" s="29" t="str">
        <f t="shared" si="26"/>
        <v>Sukher</v>
      </c>
      <c r="G252" s="29" t="s">
        <v>408</v>
      </c>
      <c r="H252" s="29" t="str">
        <f t="shared" si="27"/>
        <v>Premium</v>
      </c>
      <c r="I252" s="29" t="s">
        <v>49</v>
      </c>
      <c r="J252" s="29" t="str">
        <f t="shared" si="28"/>
        <v>Savings</v>
      </c>
      <c r="K252" s="29" t="s">
        <v>69</v>
      </c>
      <c r="L252" s="29" t="str">
        <f t="shared" si="29"/>
        <v>Deposit</v>
      </c>
      <c r="M252" s="29" t="s">
        <v>43</v>
      </c>
      <c r="N252" s="29" t="str">
        <f t="shared" si="30"/>
        <v>Branch</v>
      </c>
      <c r="O252" s="29" t="s">
        <v>30</v>
      </c>
      <c r="P252" s="32">
        <v>10679.44</v>
      </c>
      <c r="Q252" s="32">
        <v>0</v>
      </c>
      <c r="R252" s="32" t="str">
        <f t="shared" si="31"/>
        <v>Completed</v>
      </c>
      <c r="S252" s="29" t="s">
        <v>45</v>
      </c>
      <c r="T252" s="29" t="s">
        <v>75</v>
      </c>
    </row>
    <row r="253" spans="1:20">
      <c r="A253" s="29" t="s">
        <v>333</v>
      </c>
      <c r="B253" s="33" t="str">
        <f t="shared" si="24"/>
        <v>09-25</v>
      </c>
      <c r="C253" s="30">
        <v>45915</v>
      </c>
      <c r="D253" s="31" t="str">
        <f t="shared" si="25"/>
        <v>Hyderabad</v>
      </c>
      <c r="E253" s="29" t="s">
        <v>63</v>
      </c>
      <c r="F253" s="29" t="str">
        <f t="shared" si="26"/>
        <v>Hyderabad</v>
      </c>
      <c r="G253" s="29" t="s">
        <v>63</v>
      </c>
      <c r="H253" s="29" t="str">
        <f t="shared" si="27"/>
        <v>Retail</v>
      </c>
      <c r="I253" s="29" t="s">
        <v>77</v>
      </c>
      <c r="J253" s="29" t="str">
        <f t="shared" si="28"/>
        <v>Current</v>
      </c>
      <c r="K253" s="29" t="s">
        <v>50</v>
      </c>
      <c r="L253" s="29" t="str">
        <f t="shared" si="29"/>
        <v>Bill Payment</v>
      </c>
      <c r="M253" s="29" t="s">
        <v>51</v>
      </c>
      <c r="N253" s="29" t="str">
        <f t="shared" si="30"/>
        <v>Atm</v>
      </c>
      <c r="O253" s="29" t="s">
        <v>52</v>
      </c>
      <c r="P253" s="32">
        <v>20699.919999999998</v>
      </c>
      <c r="Q253" s="32">
        <v>40.99</v>
      </c>
      <c r="R253" s="32" t="str">
        <f t="shared" si="31"/>
        <v>Completed</v>
      </c>
      <c r="S253" s="29" t="s">
        <v>45</v>
      </c>
      <c r="T253" s="29" t="s">
        <v>46</v>
      </c>
    </row>
    <row r="254" spans="1:20">
      <c r="A254" s="29" t="s">
        <v>334</v>
      </c>
      <c r="B254" s="33" t="str">
        <f t="shared" si="24"/>
        <v>12-26</v>
      </c>
      <c r="C254" s="30">
        <v>46376</v>
      </c>
      <c r="D254" s="31" t="str">
        <f t="shared" si="25"/>
        <v>Hyderabad</v>
      </c>
      <c r="E254" s="29" t="s">
        <v>63</v>
      </c>
      <c r="F254" s="29" t="str">
        <f t="shared" si="26"/>
        <v>Hyderabad</v>
      </c>
      <c r="G254" s="29" t="s">
        <v>63</v>
      </c>
      <c r="H254" s="29" t="str">
        <f t="shared" si="27"/>
        <v>Sme</v>
      </c>
      <c r="I254" s="29" t="s">
        <v>55</v>
      </c>
      <c r="J254" s="29" t="str">
        <f t="shared" si="28"/>
        <v>Salary</v>
      </c>
      <c r="K254" s="29" t="s">
        <v>56</v>
      </c>
      <c r="L254" s="29" t="str">
        <f t="shared" si="29"/>
        <v>Withdrawal</v>
      </c>
      <c r="M254" s="29" t="s">
        <v>60</v>
      </c>
      <c r="N254" s="29" t="str">
        <f t="shared" si="30"/>
        <v>Atm</v>
      </c>
      <c r="O254" s="29" t="s">
        <v>52</v>
      </c>
      <c r="P254" s="32">
        <v>47012.95</v>
      </c>
      <c r="Q254" s="32">
        <v>0</v>
      </c>
      <c r="R254" s="32" t="str">
        <f t="shared" si="31"/>
        <v>Completed</v>
      </c>
      <c r="S254" s="29" t="s">
        <v>45</v>
      </c>
      <c r="T254" s="29" t="s">
        <v>57</v>
      </c>
    </row>
    <row r="255" spans="1:20">
      <c r="A255" s="29" t="s">
        <v>335</v>
      </c>
      <c r="B255" s="33" t="str">
        <f t="shared" si="24"/>
        <v>04-25</v>
      </c>
      <c r="C255" s="30">
        <v>45764</v>
      </c>
      <c r="D255" s="31" t="str">
        <f t="shared" si="25"/>
        <v>Nawabshah</v>
      </c>
      <c r="E255" s="29" t="s">
        <v>67</v>
      </c>
      <c r="F255" s="29" t="str">
        <f t="shared" si="26"/>
        <v>Shaheed Benazirabad</v>
      </c>
      <c r="G255" s="29" t="s">
        <v>68</v>
      </c>
      <c r="H255" s="29" t="str">
        <f t="shared" si="27"/>
        <v>Sme</v>
      </c>
      <c r="I255" s="29" t="s">
        <v>55</v>
      </c>
      <c r="J255" s="29" t="str">
        <f t="shared" si="28"/>
        <v>Savings</v>
      </c>
      <c r="K255" s="29" t="s">
        <v>69</v>
      </c>
      <c r="L255" s="29" t="str">
        <f t="shared" si="29"/>
        <v>Transfer</v>
      </c>
      <c r="M255" s="29" t="s">
        <v>83</v>
      </c>
      <c r="N255" s="29" t="str">
        <f t="shared" si="30"/>
        <v>Mobile App</v>
      </c>
      <c r="O255" s="29" t="s">
        <v>61</v>
      </c>
      <c r="P255" s="32">
        <v>110984.05</v>
      </c>
      <c r="Q255" s="32">
        <v>145.56</v>
      </c>
      <c r="R255" s="32" t="str">
        <f t="shared" si="31"/>
        <v>Completed</v>
      </c>
      <c r="S255" s="29" t="s">
        <v>45</v>
      </c>
      <c r="T255" s="29" t="s">
        <v>65</v>
      </c>
    </row>
    <row r="256" spans="1:20">
      <c r="A256" s="29" t="s">
        <v>336</v>
      </c>
      <c r="B256" s="33" t="str">
        <f t="shared" si="24"/>
        <v>06-25</v>
      </c>
      <c r="C256" s="30">
        <v>45835</v>
      </c>
      <c r="D256" s="31" t="str">
        <f t="shared" si="25"/>
        <v>Karachi Main</v>
      </c>
      <c r="E256" s="29" t="s">
        <v>73</v>
      </c>
      <c r="F256" s="29" t="str">
        <f t="shared" si="26"/>
        <v>Karachi</v>
      </c>
      <c r="G256" s="29" t="s">
        <v>74</v>
      </c>
      <c r="H256" s="29" t="str">
        <f t="shared" si="27"/>
        <v>Sme</v>
      </c>
      <c r="I256" s="29" t="s">
        <v>55</v>
      </c>
      <c r="J256" s="29" t="str">
        <f t="shared" si="28"/>
        <v>Current</v>
      </c>
      <c r="K256" s="29" t="s">
        <v>50</v>
      </c>
      <c r="L256" s="29" t="str">
        <f t="shared" si="29"/>
        <v>Bill Payment</v>
      </c>
      <c r="M256" s="29" t="s">
        <v>51</v>
      </c>
      <c r="N256" s="29" t="str">
        <f t="shared" si="30"/>
        <v>Mobile App</v>
      </c>
      <c r="O256" s="29" t="s">
        <v>61</v>
      </c>
      <c r="P256" s="32">
        <v>30084.57</v>
      </c>
      <c r="Q256" s="32">
        <v>60.28</v>
      </c>
      <c r="R256" s="32" t="str">
        <f t="shared" si="31"/>
        <v>Completed</v>
      </c>
      <c r="S256" s="29" t="s">
        <v>45</v>
      </c>
      <c r="T256" s="29" t="s">
        <v>53</v>
      </c>
    </row>
    <row r="257" spans="1:20">
      <c r="A257" s="29" t="s">
        <v>337</v>
      </c>
      <c r="B257" s="33" t="str">
        <f t="shared" si="24"/>
        <v>12-26</v>
      </c>
      <c r="C257" s="30">
        <v>46365</v>
      </c>
      <c r="D257" s="31" t="str">
        <f t="shared" si="25"/>
        <v>Larkana</v>
      </c>
      <c r="E257" s="29" t="s">
        <v>48</v>
      </c>
      <c r="F257" s="29" t="str">
        <f t="shared" si="26"/>
        <v>Larkana</v>
      </c>
      <c r="G257" s="29" t="s">
        <v>48</v>
      </c>
      <c r="H257" s="29" t="str">
        <f t="shared" si="27"/>
        <v>Premium</v>
      </c>
      <c r="I257" s="29" t="s">
        <v>49</v>
      </c>
      <c r="J257" s="29" t="str">
        <f t="shared" si="28"/>
        <v>Savings</v>
      </c>
      <c r="K257" s="29" t="s">
        <v>69</v>
      </c>
      <c r="L257" s="29" t="str">
        <f t="shared" si="29"/>
        <v>Withdrawal</v>
      </c>
      <c r="M257" s="29" t="s">
        <v>60</v>
      </c>
      <c r="N257" s="29" t="str">
        <f t="shared" si="30"/>
        <v>Branch</v>
      </c>
      <c r="O257" s="29" t="s">
        <v>30</v>
      </c>
      <c r="P257" s="32">
        <v>18863.39</v>
      </c>
      <c r="Q257" s="32">
        <v>0</v>
      </c>
      <c r="R257" s="32" t="str">
        <f t="shared" si="31"/>
        <v>Completed</v>
      </c>
      <c r="S257" s="29" t="s">
        <v>45</v>
      </c>
      <c r="T257" s="29" t="s">
        <v>65</v>
      </c>
    </row>
    <row r="258" spans="1:20">
      <c r="A258" s="29" t="s">
        <v>338</v>
      </c>
      <c r="B258" s="33" t="str">
        <f t="shared" ref="B258:B321" si="32">TEXT(C:C,"mm-yy")</f>
        <v>04-25</v>
      </c>
      <c r="C258" s="30">
        <v>45752</v>
      </c>
      <c r="D258" s="31" t="str">
        <f t="shared" ref="D258:D321" si="33">PROPER(TRIM(E:E))</f>
        <v>Sukher</v>
      </c>
      <c r="E258" s="29" t="s">
        <v>408</v>
      </c>
      <c r="F258" s="29" t="str">
        <f t="shared" ref="F258:F321" si="34">PROPER(TRIM(G:G))</f>
        <v>Sukher</v>
      </c>
      <c r="G258" s="29" t="s">
        <v>408</v>
      </c>
      <c r="H258" s="29" t="str">
        <f t="shared" ref="H258:H321" si="35">PROPER(TRIM(I:I))</f>
        <v>Retail</v>
      </c>
      <c r="I258" s="29" t="s">
        <v>77</v>
      </c>
      <c r="J258" s="29" t="str">
        <f t="shared" ref="J258:J321" si="36">PROPER(TRIM(K:K))</f>
        <v>Savings</v>
      </c>
      <c r="K258" s="29" t="s">
        <v>69</v>
      </c>
      <c r="L258" s="29" t="str">
        <f t="shared" ref="L258:L321" si="37">PROPER(TRIM(M:M))</f>
        <v>Bill Payment</v>
      </c>
      <c r="M258" s="29" t="s">
        <v>51</v>
      </c>
      <c r="N258" s="29" t="str">
        <f t="shared" ref="N258:N321" si="38">PROPER(TRIM(O:O))</f>
        <v>Branch</v>
      </c>
      <c r="O258" s="29" t="s">
        <v>30</v>
      </c>
      <c r="P258" s="32">
        <v>5487.69</v>
      </c>
      <c r="Q258" s="32">
        <v>42.82</v>
      </c>
      <c r="R258" s="32" t="str">
        <f t="shared" ref="R258:R321" si="39">PROPER(TRIM(S:S))</f>
        <v>Completed</v>
      </c>
      <c r="S258" s="29" t="s">
        <v>45</v>
      </c>
      <c r="T258" s="29" t="s">
        <v>53</v>
      </c>
    </row>
    <row r="259" spans="1:20">
      <c r="A259" s="29" t="s">
        <v>339</v>
      </c>
      <c r="B259" s="33" t="str">
        <f t="shared" si="32"/>
        <v>04-25</v>
      </c>
      <c r="C259" s="30">
        <v>45767</v>
      </c>
      <c r="D259" s="31" t="str">
        <f t="shared" si="33"/>
        <v>Larkana</v>
      </c>
      <c r="E259" s="29" t="s">
        <v>48</v>
      </c>
      <c r="F259" s="29" t="str">
        <f t="shared" si="34"/>
        <v>Larkana</v>
      </c>
      <c r="G259" s="29" t="s">
        <v>48</v>
      </c>
      <c r="H259" s="29" t="str">
        <f t="shared" si="35"/>
        <v>Sme</v>
      </c>
      <c r="I259" s="29" t="s">
        <v>55</v>
      </c>
      <c r="J259" s="29" t="str">
        <f t="shared" si="36"/>
        <v>Savings</v>
      </c>
      <c r="K259" s="29" t="s">
        <v>69</v>
      </c>
      <c r="L259" s="29" t="str">
        <f t="shared" si="37"/>
        <v>Deposit</v>
      </c>
      <c r="M259" s="29" t="s">
        <v>43</v>
      </c>
      <c r="N259" s="29" t="str">
        <f t="shared" si="38"/>
        <v>Atm</v>
      </c>
      <c r="O259" s="29" t="s">
        <v>52</v>
      </c>
      <c r="P259" s="32">
        <v>72057.08</v>
      </c>
      <c r="Q259" s="32">
        <v>0</v>
      </c>
      <c r="R259" s="32" t="str">
        <f t="shared" si="39"/>
        <v>Completed</v>
      </c>
      <c r="S259" s="29" t="s">
        <v>45</v>
      </c>
      <c r="T259" s="29" t="s">
        <v>53</v>
      </c>
    </row>
    <row r="260" spans="1:20">
      <c r="A260" s="29" t="s">
        <v>340</v>
      </c>
      <c r="B260" s="33" t="str">
        <f t="shared" si="32"/>
        <v>11-26</v>
      </c>
      <c r="C260" s="30">
        <v>46333</v>
      </c>
      <c r="D260" s="31" t="str">
        <f t="shared" si="33"/>
        <v>Larkana</v>
      </c>
      <c r="E260" s="29" t="s">
        <v>48</v>
      </c>
      <c r="F260" s="29" t="str">
        <f t="shared" si="34"/>
        <v>Larkana</v>
      </c>
      <c r="G260" s="29" t="s">
        <v>48</v>
      </c>
      <c r="H260" s="29" t="str">
        <f t="shared" si="35"/>
        <v>Retail</v>
      </c>
      <c r="I260" s="29" t="s">
        <v>77</v>
      </c>
      <c r="J260" s="29" t="str">
        <f t="shared" si="36"/>
        <v>Savings</v>
      </c>
      <c r="K260" s="29" t="s">
        <v>69</v>
      </c>
      <c r="L260" s="29" t="str">
        <f t="shared" si="37"/>
        <v>Transfer</v>
      </c>
      <c r="M260" s="29" t="s">
        <v>83</v>
      </c>
      <c r="N260" s="29" t="str">
        <f t="shared" si="38"/>
        <v>Atm</v>
      </c>
      <c r="O260" s="29" t="s">
        <v>52</v>
      </c>
      <c r="P260" s="32">
        <v>32334.6</v>
      </c>
      <c r="Q260" s="32">
        <v>49.88</v>
      </c>
      <c r="R260" s="32" t="str">
        <f t="shared" si="39"/>
        <v>Completed</v>
      </c>
      <c r="S260" s="29" t="s">
        <v>45</v>
      </c>
      <c r="T260" s="29" t="s">
        <v>75</v>
      </c>
    </row>
    <row r="261" spans="1:20">
      <c r="A261" s="29" t="s">
        <v>341</v>
      </c>
      <c r="B261" s="33" t="str">
        <f t="shared" si="32"/>
        <v>12-25</v>
      </c>
      <c r="C261" s="30">
        <v>46016</v>
      </c>
      <c r="D261" s="31" t="str">
        <f t="shared" si="33"/>
        <v>Hyderabad</v>
      </c>
      <c r="E261" s="29" t="s">
        <v>109</v>
      </c>
      <c r="F261" s="29" t="str">
        <f t="shared" si="34"/>
        <v>Hyderabad</v>
      </c>
      <c r="G261" s="29" t="s">
        <v>63</v>
      </c>
      <c r="H261" s="29" t="str">
        <f t="shared" si="35"/>
        <v>Sme</v>
      </c>
      <c r="I261" s="29" t="s">
        <v>55</v>
      </c>
      <c r="J261" s="29" t="str">
        <f t="shared" si="36"/>
        <v>Salary</v>
      </c>
      <c r="K261" s="29" t="s">
        <v>56</v>
      </c>
      <c r="L261" s="29" t="str">
        <f t="shared" si="37"/>
        <v>Transfer</v>
      </c>
      <c r="M261" s="29" t="s">
        <v>83</v>
      </c>
      <c r="N261" s="29" t="str">
        <f t="shared" si="38"/>
        <v>Branch</v>
      </c>
      <c r="O261" s="29" t="s">
        <v>30</v>
      </c>
      <c r="P261" s="32">
        <v>9397.08</v>
      </c>
      <c r="Q261" s="32">
        <v>176.77</v>
      </c>
      <c r="R261" s="32" t="str">
        <f t="shared" si="39"/>
        <v>Completed</v>
      </c>
      <c r="S261" s="29" t="s">
        <v>45</v>
      </c>
      <c r="T261" s="29" t="s">
        <v>46</v>
      </c>
    </row>
    <row r="262" spans="1:20">
      <c r="A262" s="29" t="s">
        <v>342</v>
      </c>
      <c r="B262" s="33" t="str">
        <f t="shared" si="32"/>
        <v>01-25</v>
      </c>
      <c r="C262" s="30">
        <v>45659</v>
      </c>
      <c r="D262" s="31" t="str">
        <f t="shared" si="33"/>
        <v>Sukher</v>
      </c>
      <c r="E262" s="29" t="s">
        <v>408</v>
      </c>
      <c r="F262" s="29" t="str">
        <f t="shared" si="34"/>
        <v>Sukher</v>
      </c>
      <c r="G262" s="29" t="s">
        <v>408</v>
      </c>
      <c r="H262" s="29" t="str">
        <f t="shared" si="35"/>
        <v>Corporate</v>
      </c>
      <c r="I262" s="29" t="s">
        <v>64</v>
      </c>
      <c r="J262" s="29" t="str">
        <f t="shared" si="36"/>
        <v>Salary</v>
      </c>
      <c r="K262" s="29" t="s">
        <v>56</v>
      </c>
      <c r="L262" s="29" t="str">
        <f t="shared" si="37"/>
        <v>Transfer</v>
      </c>
      <c r="M262" s="29" t="s">
        <v>83</v>
      </c>
      <c r="N262" s="29" t="str">
        <f t="shared" si="38"/>
        <v>Branch</v>
      </c>
      <c r="O262" s="29" t="s">
        <v>30</v>
      </c>
      <c r="P262" s="32">
        <v>138677.28</v>
      </c>
      <c r="Q262" s="32">
        <v>74.22</v>
      </c>
      <c r="R262" s="32" t="str">
        <f t="shared" si="39"/>
        <v>Completed</v>
      </c>
      <c r="S262" s="29" t="s">
        <v>45</v>
      </c>
      <c r="T262" s="29" t="s">
        <v>53</v>
      </c>
    </row>
    <row r="263" spans="1:20">
      <c r="A263" s="29" t="s">
        <v>343</v>
      </c>
      <c r="B263" s="33" t="str">
        <f t="shared" si="32"/>
        <v>06-26</v>
      </c>
      <c r="C263" s="30">
        <v>46186</v>
      </c>
      <c r="D263" s="31" t="str">
        <f t="shared" si="33"/>
        <v>Sukher</v>
      </c>
      <c r="E263" s="29" t="s">
        <v>408</v>
      </c>
      <c r="F263" s="29" t="str">
        <f t="shared" si="34"/>
        <v>Sukher</v>
      </c>
      <c r="G263" s="29" t="s">
        <v>408</v>
      </c>
      <c r="H263" s="29" t="str">
        <f t="shared" si="35"/>
        <v>Premium</v>
      </c>
      <c r="I263" s="29" t="s">
        <v>49</v>
      </c>
      <c r="J263" s="29" t="str">
        <f t="shared" si="36"/>
        <v>Salary</v>
      </c>
      <c r="K263" s="29" t="s">
        <v>56</v>
      </c>
      <c r="L263" s="29" t="str">
        <f t="shared" si="37"/>
        <v>Deposit</v>
      </c>
      <c r="M263" s="29" t="s">
        <v>43</v>
      </c>
      <c r="N263" s="29" t="str">
        <f t="shared" si="38"/>
        <v>Internet Banking</v>
      </c>
      <c r="O263" s="29" t="s">
        <v>78</v>
      </c>
      <c r="P263" s="32">
        <v>96977.53</v>
      </c>
      <c r="Q263" s="32">
        <v>0</v>
      </c>
      <c r="R263" s="32" t="str">
        <f t="shared" si="39"/>
        <v>Pending</v>
      </c>
      <c r="S263" s="29" t="s">
        <v>84</v>
      </c>
      <c r="T263" s="29" t="s">
        <v>46</v>
      </c>
    </row>
    <row r="264" spans="1:20">
      <c r="A264" s="29" t="s">
        <v>344</v>
      </c>
      <c r="B264" s="33" t="str">
        <f t="shared" si="32"/>
        <v>07-25</v>
      </c>
      <c r="C264" s="30">
        <v>45866</v>
      </c>
      <c r="D264" s="31" t="str">
        <f t="shared" si="33"/>
        <v>Nawabshah</v>
      </c>
      <c r="E264" s="29" t="s">
        <v>67</v>
      </c>
      <c r="F264" s="29" t="str">
        <f t="shared" si="34"/>
        <v>Shaheed Benazirabad</v>
      </c>
      <c r="G264" s="29" t="s">
        <v>68</v>
      </c>
      <c r="H264" s="29" t="str">
        <f t="shared" si="35"/>
        <v>Retail</v>
      </c>
      <c r="I264" s="29" t="s">
        <v>77</v>
      </c>
      <c r="J264" s="29" t="str">
        <f t="shared" si="36"/>
        <v>Savings</v>
      </c>
      <c r="K264" s="29" t="s">
        <v>69</v>
      </c>
      <c r="L264" s="29" t="str">
        <f t="shared" si="37"/>
        <v>Bill Payment</v>
      </c>
      <c r="M264" s="29" t="s">
        <v>51</v>
      </c>
      <c r="N264" s="29" t="str">
        <f t="shared" si="38"/>
        <v>Branch</v>
      </c>
      <c r="O264" s="29" t="s">
        <v>30</v>
      </c>
      <c r="P264" s="32">
        <v>8864.48</v>
      </c>
      <c r="Q264" s="32">
        <v>76.040000000000006</v>
      </c>
      <c r="R264" s="32" t="str">
        <f t="shared" si="39"/>
        <v>Completed</v>
      </c>
      <c r="S264" s="29" t="s">
        <v>45</v>
      </c>
      <c r="T264" s="29" t="s">
        <v>70</v>
      </c>
    </row>
    <row r="265" spans="1:20">
      <c r="A265" s="29" t="s">
        <v>345</v>
      </c>
      <c r="B265" s="33" t="str">
        <f t="shared" si="32"/>
        <v>12-25</v>
      </c>
      <c r="C265" s="30">
        <v>46013</v>
      </c>
      <c r="D265" s="31" t="str">
        <f t="shared" si="33"/>
        <v>Larkana</v>
      </c>
      <c r="E265" s="29" t="s">
        <v>48</v>
      </c>
      <c r="F265" s="29" t="str">
        <f t="shared" si="34"/>
        <v>Larkana</v>
      </c>
      <c r="G265" s="29" t="s">
        <v>48</v>
      </c>
      <c r="H265" s="29" t="str">
        <f t="shared" si="35"/>
        <v>Sme</v>
      </c>
      <c r="I265" s="29" t="s">
        <v>55</v>
      </c>
      <c r="J265" s="29" t="str">
        <f t="shared" si="36"/>
        <v>Salary</v>
      </c>
      <c r="K265" s="29" t="s">
        <v>56</v>
      </c>
      <c r="L265" s="29" t="str">
        <f t="shared" si="37"/>
        <v>Deposit</v>
      </c>
      <c r="M265" s="29" t="s">
        <v>43</v>
      </c>
      <c r="N265" s="29" t="str">
        <f t="shared" si="38"/>
        <v>Internet Banking</v>
      </c>
      <c r="O265" s="29" t="s">
        <v>78</v>
      </c>
      <c r="P265" s="32">
        <v>18864.88</v>
      </c>
      <c r="Q265" s="32">
        <v>0</v>
      </c>
      <c r="R265" s="32" t="str">
        <f t="shared" si="39"/>
        <v>Completed</v>
      </c>
      <c r="S265" s="29" t="s">
        <v>45</v>
      </c>
      <c r="T265" s="29" t="s">
        <v>70</v>
      </c>
    </row>
    <row r="266" spans="1:20">
      <c r="A266" s="29" t="s">
        <v>346</v>
      </c>
      <c r="B266" s="33" t="str">
        <f t="shared" si="32"/>
        <v>08-26</v>
      </c>
      <c r="C266" s="30">
        <v>46242</v>
      </c>
      <c r="D266" s="31" t="str">
        <f t="shared" si="33"/>
        <v>Karachi Main</v>
      </c>
      <c r="E266" s="29" t="s">
        <v>73</v>
      </c>
      <c r="F266" s="29" t="str">
        <f t="shared" si="34"/>
        <v>Karachi</v>
      </c>
      <c r="G266" s="29" t="s">
        <v>74</v>
      </c>
      <c r="H266" s="29" t="str">
        <f t="shared" si="35"/>
        <v>Retail</v>
      </c>
      <c r="I266" s="29" t="s">
        <v>77</v>
      </c>
      <c r="J266" s="29" t="str">
        <f t="shared" si="36"/>
        <v>Salary</v>
      </c>
      <c r="K266" s="29" t="s">
        <v>56</v>
      </c>
      <c r="L266" s="29" t="str">
        <f t="shared" si="37"/>
        <v>Deposit</v>
      </c>
      <c r="M266" s="29" t="s">
        <v>43</v>
      </c>
      <c r="N266" s="29" t="str">
        <f t="shared" si="38"/>
        <v>Internet Banking</v>
      </c>
      <c r="O266" s="29" t="s">
        <v>78</v>
      </c>
      <c r="P266" s="32">
        <v>104247.28</v>
      </c>
      <c r="Q266" s="32">
        <v>0</v>
      </c>
      <c r="R266" s="32" t="str">
        <f t="shared" si="39"/>
        <v>Pending</v>
      </c>
      <c r="S266" s="29" t="s">
        <v>84</v>
      </c>
      <c r="T266" s="29" t="s">
        <v>65</v>
      </c>
    </row>
    <row r="267" spans="1:20">
      <c r="A267" s="29" t="s">
        <v>347</v>
      </c>
      <c r="B267" s="33" t="str">
        <f t="shared" si="32"/>
        <v>06-25</v>
      </c>
      <c r="C267" s="30">
        <v>45822</v>
      </c>
      <c r="D267" s="31" t="str">
        <f t="shared" si="33"/>
        <v>Karachi Main</v>
      </c>
      <c r="E267" s="29" t="s">
        <v>73</v>
      </c>
      <c r="F267" s="29" t="str">
        <f t="shared" si="34"/>
        <v>Karachi</v>
      </c>
      <c r="G267" s="29" t="s">
        <v>74</v>
      </c>
      <c r="H267" s="29" t="str">
        <f t="shared" si="35"/>
        <v>Sme</v>
      </c>
      <c r="I267" s="29" t="s">
        <v>55</v>
      </c>
      <c r="J267" s="29" t="str">
        <f t="shared" si="36"/>
        <v>Current</v>
      </c>
      <c r="K267" s="29" t="s">
        <v>50</v>
      </c>
      <c r="L267" s="29" t="str">
        <f t="shared" si="37"/>
        <v>Deposit</v>
      </c>
      <c r="M267" s="29" t="s">
        <v>43</v>
      </c>
      <c r="N267" s="29" t="str">
        <f t="shared" si="38"/>
        <v>Internet Banking</v>
      </c>
      <c r="O267" s="29" t="s">
        <v>348</v>
      </c>
      <c r="P267" s="32">
        <v>14462.14</v>
      </c>
      <c r="Q267" s="32">
        <v>0</v>
      </c>
      <c r="R267" s="32" t="str">
        <f t="shared" si="39"/>
        <v>Completed</v>
      </c>
      <c r="S267" s="29" t="s">
        <v>45</v>
      </c>
      <c r="T267" s="29" t="s">
        <v>65</v>
      </c>
    </row>
    <row r="268" spans="1:20">
      <c r="A268" s="29" t="s">
        <v>349</v>
      </c>
      <c r="B268" s="33" t="str">
        <f t="shared" si="32"/>
        <v>05-25</v>
      </c>
      <c r="C268" s="30">
        <v>45792</v>
      </c>
      <c r="D268" s="31" t="str">
        <f t="shared" si="33"/>
        <v>Karachi Main</v>
      </c>
      <c r="E268" s="29" t="s">
        <v>73</v>
      </c>
      <c r="F268" s="29" t="str">
        <f t="shared" si="34"/>
        <v>Karachi</v>
      </c>
      <c r="G268" s="29" t="s">
        <v>74</v>
      </c>
      <c r="H268" s="29" t="str">
        <f t="shared" si="35"/>
        <v>Retail</v>
      </c>
      <c r="I268" s="29" t="s">
        <v>77</v>
      </c>
      <c r="J268" s="29" t="str">
        <f t="shared" si="36"/>
        <v>Current</v>
      </c>
      <c r="K268" s="29" t="s">
        <v>50</v>
      </c>
      <c r="L268" s="29" t="str">
        <f t="shared" si="37"/>
        <v>Withdrawal</v>
      </c>
      <c r="M268" s="29" t="s">
        <v>60</v>
      </c>
      <c r="N268" s="29" t="str">
        <f t="shared" si="38"/>
        <v>Internet Banking</v>
      </c>
      <c r="O268" s="29" t="s">
        <v>78</v>
      </c>
      <c r="P268" s="32">
        <v>4111.22</v>
      </c>
      <c r="Q268" s="32">
        <v>0</v>
      </c>
      <c r="R268" s="32" t="str">
        <f t="shared" si="39"/>
        <v>Pending</v>
      </c>
      <c r="S268" s="29" t="s">
        <v>84</v>
      </c>
      <c r="T268" s="29" t="s">
        <v>70</v>
      </c>
    </row>
    <row r="269" spans="1:20">
      <c r="A269" s="29" t="s">
        <v>350</v>
      </c>
      <c r="B269" s="33" t="str">
        <f t="shared" si="32"/>
        <v>06-26</v>
      </c>
      <c r="C269" s="30">
        <v>46179</v>
      </c>
      <c r="D269" s="31" t="str">
        <f t="shared" si="33"/>
        <v>Sukher</v>
      </c>
      <c r="E269" s="29" t="s">
        <v>408</v>
      </c>
      <c r="F269" s="29" t="str">
        <f t="shared" si="34"/>
        <v>Sukher</v>
      </c>
      <c r="G269" s="29" t="s">
        <v>408</v>
      </c>
      <c r="H269" s="29" t="str">
        <f t="shared" si="35"/>
        <v>Retail</v>
      </c>
      <c r="I269" s="29" t="s">
        <v>77</v>
      </c>
      <c r="J269" s="29" t="str">
        <f t="shared" si="36"/>
        <v>Current</v>
      </c>
      <c r="K269" s="29" t="s">
        <v>50</v>
      </c>
      <c r="L269" s="29" t="str">
        <f t="shared" si="37"/>
        <v>Bill Payment</v>
      </c>
      <c r="M269" s="29" t="s">
        <v>51</v>
      </c>
      <c r="N269" s="29" t="str">
        <f t="shared" si="38"/>
        <v>Internet Banking</v>
      </c>
      <c r="O269" s="29" t="s">
        <v>78</v>
      </c>
      <c r="P269" s="32">
        <v>19508.169999999998</v>
      </c>
      <c r="Q269" s="32">
        <v>80.680000000000007</v>
      </c>
      <c r="R269" s="32" t="str">
        <f t="shared" si="39"/>
        <v>Completed</v>
      </c>
      <c r="S269" s="29" t="s">
        <v>45</v>
      </c>
      <c r="T269" s="29" t="s">
        <v>46</v>
      </c>
    </row>
    <row r="270" spans="1:20">
      <c r="A270" s="29" t="s">
        <v>352</v>
      </c>
      <c r="B270" s="33" t="str">
        <f t="shared" si="32"/>
        <v>10-25</v>
      </c>
      <c r="C270" s="30">
        <v>45937</v>
      </c>
      <c r="D270" s="31" t="str">
        <f t="shared" si="33"/>
        <v>Karachi Main</v>
      </c>
      <c r="E270" s="29" t="s">
        <v>73</v>
      </c>
      <c r="F270" s="29" t="str">
        <f t="shared" si="34"/>
        <v>Karachi</v>
      </c>
      <c r="G270" s="29" t="s">
        <v>74</v>
      </c>
      <c r="H270" s="29" t="str">
        <f t="shared" si="35"/>
        <v>Retail</v>
      </c>
      <c r="I270" s="29" t="s">
        <v>77</v>
      </c>
      <c r="J270" s="29" t="str">
        <f t="shared" si="36"/>
        <v>Salary</v>
      </c>
      <c r="K270" s="29" t="s">
        <v>42</v>
      </c>
      <c r="L270" s="29" t="str">
        <f t="shared" si="37"/>
        <v>Deposit</v>
      </c>
      <c r="M270" s="29" t="s">
        <v>43</v>
      </c>
      <c r="N270" s="29" t="str">
        <f t="shared" si="38"/>
        <v>Branch</v>
      </c>
      <c r="O270" s="29" t="s">
        <v>30</v>
      </c>
      <c r="P270" s="32">
        <v>64322.25</v>
      </c>
      <c r="Q270" s="32">
        <v>0</v>
      </c>
      <c r="R270" s="32" t="str">
        <f t="shared" si="39"/>
        <v>Completed</v>
      </c>
      <c r="S270" s="29" t="s">
        <v>45</v>
      </c>
      <c r="T270" s="29" t="s">
        <v>46</v>
      </c>
    </row>
    <row r="271" spans="1:20">
      <c r="A271" s="29" t="s">
        <v>353</v>
      </c>
      <c r="B271" s="33" t="str">
        <f t="shared" si="32"/>
        <v>02-25</v>
      </c>
      <c r="C271" s="30">
        <v>45694</v>
      </c>
      <c r="D271" s="31" t="str">
        <f t="shared" si="33"/>
        <v>Sukher</v>
      </c>
      <c r="E271" s="29" t="s">
        <v>408</v>
      </c>
      <c r="F271" s="29" t="str">
        <f t="shared" si="34"/>
        <v>Sukher</v>
      </c>
      <c r="G271" s="29" t="s">
        <v>408</v>
      </c>
      <c r="H271" s="29" t="str">
        <f t="shared" si="35"/>
        <v>Premium</v>
      </c>
      <c r="I271" s="29" t="s">
        <v>49</v>
      </c>
      <c r="J271" s="29" t="str">
        <f t="shared" si="36"/>
        <v>Salary</v>
      </c>
      <c r="K271" s="29" t="s">
        <v>56</v>
      </c>
      <c r="L271" s="29" t="str">
        <f t="shared" si="37"/>
        <v>Transfer</v>
      </c>
      <c r="M271" s="29" t="s">
        <v>83</v>
      </c>
      <c r="N271" s="29" t="str">
        <f t="shared" si="38"/>
        <v>Atm</v>
      </c>
      <c r="O271" s="29" t="s">
        <v>52</v>
      </c>
      <c r="P271" s="32">
        <v>148251.60999999999</v>
      </c>
      <c r="Q271" s="32">
        <v>165.41</v>
      </c>
      <c r="R271" s="32" t="str">
        <f t="shared" si="39"/>
        <v>Completed</v>
      </c>
      <c r="S271" s="29" t="s">
        <v>45</v>
      </c>
      <c r="T271" s="29" t="s">
        <v>75</v>
      </c>
    </row>
    <row r="272" spans="1:20">
      <c r="A272" s="29" t="s">
        <v>354</v>
      </c>
      <c r="B272" s="33" t="str">
        <f t="shared" si="32"/>
        <v>02-26</v>
      </c>
      <c r="C272" s="30">
        <v>46060</v>
      </c>
      <c r="D272" s="31" t="str">
        <f t="shared" si="33"/>
        <v>Sukher</v>
      </c>
      <c r="E272" s="29" t="s">
        <v>408</v>
      </c>
      <c r="F272" s="29" t="str">
        <f t="shared" si="34"/>
        <v>Sukher</v>
      </c>
      <c r="G272" s="29" t="s">
        <v>408</v>
      </c>
      <c r="H272" s="29" t="str">
        <f t="shared" si="35"/>
        <v>Premium</v>
      </c>
      <c r="I272" s="29" t="s">
        <v>49</v>
      </c>
      <c r="J272" s="29" t="str">
        <f t="shared" si="36"/>
        <v>Salary</v>
      </c>
      <c r="K272" s="29" t="s">
        <v>56</v>
      </c>
      <c r="L272" s="29" t="str">
        <f t="shared" si="37"/>
        <v>Deposit</v>
      </c>
      <c r="M272" s="29" t="s">
        <v>43</v>
      </c>
      <c r="N272" s="29" t="str">
        <f t="shared" si="38"/>
        <v>Atm</v>
      </c>
      <c r="O272" s="29" t="s">
        <v>52</v>
      </c>
      <c r="P272" s="32">
        <v>14639.8</v>
      </c>
      <c r="Q272" s="32">
        <v>0</v>
      </c>
      <c r="R272" s="32" t="str">
        <f t="shared" si="39"/>
        <v>Completed</v>
      </c>
      <c r="S272" s="29" t="s">
        <v>45</v>
      </c>
      <c r="T272" s="29" t="s">
        <v>70</v>
      </c>
    </row>
    <row r="273" spans="1:20">
      <c r="A273" s="29" t="s">
        <v>355</v>
      </c>
      <c r="B273" s="33" t="str">
        <f t="shared" si="32"/>
        <v>07-25</v>
      </c>
      <c r="C273" s="30">
        <v>45860</v>
      </c>
      <c r="D273" s="31" t="str">
        <f t="shared" si="33"/>
        <v>Sukher</v>
      </c>
      <c r="E273" s="29" t="s">
        <v>408</v>
      </c>
      <c r="F273" s="29" t="str">
        <f t="shared" si="34"/>
        <v>Sukher</v>
      </c>
      <c r="G273" s="29" t="s">
        <v>408</v>
      </c>
      <c r="H273" s="29" t="str">
        <f t="shared" si="35"/>
        <v>Sme</v>
      </c>
      <c r="I273" s="29" t="s">
        <v>55</v>
      </c>
      <c r="J273" s="29" t="str">
        <f t="shared" si="36"/>
        <v>Salary</v>
      </c>
      <c r="K273" s="29" t="s">
        <v>56</v>
      </c>
      <c r="L273" s="29" t="str">
        <f t="shared" si="37"/>
        <v>Withdrawal</v>
      </c>
      <c r="M273" s="29" t="s">
        <v>60</v>
      </c>
      <c r="N273" s="29" t="str">
        <f t="shared" si="38"/>
        <v>Mobile App</v>
      </c>
      <c r="O273" s="29" t="s">
        <v>61</v>
      </c>
      <c r="P273" s="32">
        <v>54590.559999999998</v>
      </c>
      <c r="Q273" s="32">
        <v>0</v>
      </c>
      <c r="R273" s="32" t="str">
        <f t="shared" si="39"/>
        <v>Completed</v>
      </c>
      <c r="S273" s="29" t="s">
        <v>45</v>
      </c>
      <c r="T273" s="29" t="s">
        <v>70</v>
      </c>
    </row>
    <row r="274" spans="1:20">
      <c r="A274" s="29" t="s">
        <v>356</v>
      </c>
      <c r="B274" s="33" t="str">
        <f t="shared" si="32"/>
        <v>08-25</v>
      </c>
      <c r="C274" s="30">
        <v>45873</v>
      </c>
      <c r="D274" s="31" t="str">
        <f t="shared" si="33"/>
        <v>Sukher</v>
      </c>
      <c r="E274" s="29" t="s">
        <v>408</v>
      </c>
      <c r="F274" s="29" t="str">
        <f t="shared" si="34"/>
        <v>Sukher</v>
      </c>
      <c r="G274" s="29" t="s">
        <v>408</v>
      </c>
      <c r="H274" s="29" t="str">
        <f t="shared" si="35"/>
        <v>Premium</v>
      </c>
      <c r="I274" s="29" t="s">
        <v>49</v>
      </c>
      <c r="J274" s="29" t="str">
        <f t="shared" si="36"/>
        <v>Current</v>
      </c>
      <c r="K274" s="29" t="s">
        <v>50</v>
      </c>
      <c r="L274" s="29" t="str">
        <f t="shared" si="37"/>
        <v>Withdrawal</v>
      </c>
      <c r="M274" s="29" t="s">
        <v>60</v>
      </c>
      <c r="N274" s="29" t="str">
        <f t="shared" si="38"/>
        <v>Internet Banking</v>
      </c>
      <c r="O274" s="29" t="s">
        <v>78</v>
      </c>
      <c r="P274" s="32">
        <v>3357.29</v>
      </c>
      <c r="Q274" s="32">
        <v>0</v>
      </c>
      <c r="R274" s="32" t="str">
        <f t="shared" si="39"/>
        <v>Completed</v>
      </c>
      <c r="S274" s="29" t="s">
        <v>45</v>
      </c>
      <c r="T274" s="29" t="s">
        <v>53</v>
      </c>
    </row>
    <row r="275" spans="1:20">
      <c r="A275" s="29" t="s">
        <v>357</v>
      </c>
      <c r="B275" s="33" t="str">
        <f t="shared" si="32"/>
        <v>07-26</v>
      </c>
      <c r="C275" s="30">
        <v>46223</v>
      </c>
      <c r="D275" s="31" t="str">
        <f t="shared" si="33"/>
        <v>Larkana</v>
      </c>
      <c r="E275" s="29" t="s">
        <v>48</v>
      </c>
      <c r="F275" s="29" t="str">
        <f t="shared" si="34"/>
        <v>Larkana</v>
      </c>
      <c r="G275" s="29" t="s">
        <v>48</v>
      </c>
      <c r="H275" s="29" t="str">
        <f t="shared" si="35"/>
        <v>Corporate</v>
      </c>
      <c r="I275" s="29" t="s">
        <v>64</v>
      </c>
      <c r="J275" s="29" t="str">
        <f t="shared" si="36"/>
        <v>Savings</v>
      </c>
      <c r="K275" s="29" t="s">
        <v>69</v>
      </c>
      <c r="L275" s="29" t="str">
        <f t="shared" si="37"/>
        <v>Deposit</v>
      </c>
      <c r="M275" s="29" t="s">
        <v>43</v>
      </c>
      <c r="N275" s="29" t="str">
        <f t="shared" si="38"/>
        <v>Atm</v>
      </c>
      <c r="O275" s="29" t="s">
        <v>52</v>
      </c>
      <c r="P275" s="32">
        <v>34059.760000000002</v>
      </c>
      <c r="Q275" s="32">
        <v>0</v>
      </c>
      <c r="R275" s="32" t="str">
        <f t="shared" si="39"/>
        <v>Completed</v>
      </c>
      <c r="S275" s="29" t="s">
        <v>45</v>
      </c>
      <c r="T275" s="29" t="s">
        <v>53</v>
      </c>
    </row>
    <row r="276" spans="1:20">
      <c r="A276" s="29" t="s">
        <v>358</v>
      </c>
      <c r="B276" s="33" t="str">
        <f t="shared" si="32"/>
        <v>11-25</v>
      </c>
      <c r="C276" s="30">
        <v>45968</v>
      </c>
      <c r="D276" s="31" t="str">
        <f t="shared" si="33"/>
        <v>Larkana</v>
      </c>
      <c r="E276" s="29" t="s">
        <v>48</v>
      </c>
      <c r="F276" s="29" t="str">
        <f t="shared" si="34"/>
        <v>Larkana</v>
      </c>
      <c r="G276" s="29" t="s">
        <v>48</v>
      </c>
      <c r="H276" s="29" t="str">
        <f t="shared" si="35"/>
        <v>Premium</v>
      </c>
      <c r="I276" s="29" t="s">
        <v>49</v>
      </c>
      <c r="J276" s="29" t="str">
        <f t="shared" si="36"/>
        <v>Salary</v>
      </c>
      <c r="K276" s="29" t="s">
        <v>56</v>
      </c>
      <c r="L276" s="29" t="str">
        <f t="shared" si="37"/>
        <v>Transfer</v>
      </c>
      <c r="M276" s="29" t="s">
        <v>83</v>
      </c>
      <c r="N276" s="29" t="str">
        <f t="shared" si="38"/>
        <v>Mobile App</v>
      </c>
      <c r="O276" s="29" t="s">
        <v>61</v>
      </c>
      <c r="P276" s="32">
        <v>155021.59</v>
      </c>
      <c r="Q276" s="32">
        <v>88.56</v>
      </c>
      <c r="R276" s="32" t="str">
        <f t="shared" si="39"/>
        <v>Completed</v>
      </c>
      <c r="S276" s="29" t="s">
        <v>45</v>
      </c>
      <c r="T276" s="29" t="s">
        <v>65</v>
      </c>
    </row>
    <row r="277" spans="1:20">
      <c r="A277" s="29" t="s">
        <v>359</v>
      </c>
      <c r="B277" s="33" t="str">
        <f t="shared" si="32"/>
        <v>07-25</v>
      </c>
      <c r="C277" s="30">
        <v>45864</v>
      </c>
      <c r="D277" s="31" t="str">
        <f t="shared" si="33"/>
        <v>Hyderabad</v>
      </c>
      <c r="E277" s="29" t="s">
        <v>63</v>
      </c>
      <c r="F277" s="29" t="str">
        <f t="shared" si="34"/>
        <v>Hyderabad</v>
      </c>
      <c r="G277" s="29" t="s">
        <v>63</v>
      </c>
      <c r="H277" s="29" t="str">
        <f t="shared" si="35"/>
        <v>Premium</v>
      </c>
      <c r="I277" s="29" t="s">
        <v>49</v>
      </c>
      <c r="J277" s="29" t="str">
        <f t="shared" si="36"/>
        <v>Current</v>
      </c>
      <c r="K277" s="29" t="s">
        <v>50</v>
      </c>
      <c r="L277" s="29" t="str">
        <f t="shared" si="37"/>
        <v>Transfer</v>
      </c>
      <c r="M277" s="29" t="s">
        <v>83</v>
      </c>
      <c r="N277" s="29" t="str">
        <f t="shared" si="38"/>
        <v>Mobile App</v>
      </c>
      <c r="O277" s="29" t="s">
        <v>61</v>
      </c>
      <c r="P277" s="32">
        <v>175378.21</v>
      </c>
      <c r="Q277" s="32">
        <v>101.47</v>
      </c>
      <c r="R277" s="32" t="str">
        <f t="shared" si="39"/>
        <v>Completed</v>
      </c>
      <c r="S277" s="29" t="s">
        <v>45</v>
      </c>
      <c r="T277" s="29" t="s">
        <v>46</v>
      </c>
    </row>
    <row r="278" spans="1:20">
      <c r="A278" s="29" t="s">
        <v>360</v>
      </c>
      <c r="B278" s="33" t="str">
        <f t="shared" si="32"/>
        <v>01-26</v>
      </c>
      <c r="C278" s="30">
        <v>46026</v>
      </c>
      <c r="D278" s="31" t="str">
        <f t="shared" si="33"/>
        <v>Karachi Main</v>
      </c>
      <c r="E278" s="29" t="s">
        <v>73</v>
      </c>
      <c r="F278" s="29" t="str">
        <f t="shared" si="34"/>
        <v>Karachi</v>
      </c>
      <c r="G278" s="29" t="s">
        <v>74</v>
      </c>
      <c r="H278" s="29" t="str">
        <f t="shared" si="35"/>
        <v>Corporate</v>
      </c>
      <c r="I278" s="29" t="s">
        <v>64</v>
      </c>
      <c r="J278" s="29" t="str">
        <f t="shared" si="36"/>
        <v>Current</v>
      </c>
      <c r="K278" s="29" t="s">
        <v>50</v>
      </c>
      <c r="L278" s="29" t="str">
        <f t="shared" si="37"/>
        <v>Transfer</v>
      </c>
      <c r="M278" s="29" t="s">
        <v>83</v>
      </c>
      <c r="N278" s="29" t="str">
        <f t="shared" si="38"/>
        <v>Branch</v>
      </c>
      <c r="O278" s="29" t="s">
        <v>30</v>
      </c>
      <c r="P278" s="32">
        <v>115717.36</v>
      </c>
      <c r="Q278" s="32">
        <v>40.33</v>
      </c>
      <c r="R278" s="32" t="str">
        <f t="shared" si="39"/>
        <v>Completed</v>
      </c>
      <c r="S278" s="29" t="s">
        <v>45</v>
      </c>
      <c r="T278" s="29" t="s">
        <v>46</v>
      </c>
    </row>
    <row r="279" spans="1:20">
      <c r="A279" s="29" t="s">
        <v>361</v>
      </c>
      <c r="B279" s="33" t="str">
        <f t="shared" si="32"/>
        <v>03-25</v>
      </c>
      <c r="C279" s="30">
        <v>45724</v>
      </c>
      <c r="D279" s="31" t="str">
        <f t="shared" si="33"/>
        <v>Nawabshah</v>
      </c>
      <c r="E279" s="29" t="s">
        <v>67</v>
      </c>
      <c r="F279" s="29" t="str">
        <f t="shared" si="34"/>
        <v>Shaheed Benazirabad</v>
      </c>
      <c r="G279" s="29" t="s">
        <v>68</v>
      </c>
      <c r="H279" s="29" t="str">
        <f t="shared" si="35"/>
        <v>Sme</v>
      </c>
      <c r="I279" s="29" t="s">
        <v>55</v>
      </c>
      <c r="J279" s="29" t="str">
        <f t="shared" si="36"/>
        <v>Current</v>
      </c>
      <c r="K279" s="29" t="s">
        <v>50</v>
      </c>
      <c r="L279" s="29" t="str">
        <f t="shared" si="37"/>
        <v>Withdrawal</v>
      </c>
      <c r="M279" s="29" t="s">
        <v>60</v>
      </c>
      <c r="N279" s="29" t="str">
        <f t="shared" si="38"/>
        <v>Atm</v>
      </c>
      <c r="O279" s="29" t="s">
        <v>52</v>
      </c>
      <c r="P279" s="32">
        <v>15029.41</v>
      </c>
      <c r="Q279" s="32">
        <v>0</v>
      </c>
      <c r="R279" s="32" t="str">
        <f t="shared" si="39"/>
        <v>Completed</v>
      </c>
      <c r="S279" s="29" t="s">
        <v>45</v>
      </c>
      <c r="T279" s="29" t="s">
        <v>53</v>
      </c>
    </row>
    <row r="280" spans="1:20">
      <c r="A280" s="29" t="s">
        <v>362</v>
      </c>
      <c r="B280" s="33" t="str">
        <f t="shared" si="32"/>
        <v>09-25</v>
      </c>
      <c r="C280" s="30">
        <v>45901</v>
      </c>
      <c r="D280" s="31" t="str">
        <f t="shared" si="33"/>
        <v>Sukher</v>
      </c>
      <c r="E280" s="29" t="s">
        <v>408</v>
      </c>
      <c r="F280" s="29" t="str">
        <f t="shared" si="34"/>
        <v>Sukher</v>
      </c>
      <c r="G280" s="29" t="s">
        <v>408</v>
      </c>
      <c r="H280" s="29" t="str">
        <f t="shared" si="35"/>
        <v>Sme</v>
      </c>
      <c r="I280" s="29" t="s">
        <v>55</v>
      </c>
      <c r="J280" s="29" t="str">
        <f t="shared" si="36"/>
        <v>Savings</v>
      </c>
      <c r="K280" s="29" t="s">
        <v>69</v>
      </c>
      <c r="L280" s="29" t="str">
        <f t="shared" si="37"/>
        <v>Transfer</v>
      </c>
      <c r="M280" s="29" t="s">
        <v>83</v>
      </c>
      <c r="N280" s="29" t="str">
        <f t="shared" si="38"/>
        <v>Internet Banking</v>
      </c>
      <c r="O280" s="29" t="s">
        <v>78</v>
      </c>
      <c r="P280" s="32">
        <v>174794.69</v>
      </c>
      <c r="Q280" s="32">
        <v>184.31</v>
      </c>
      <c r="R280" s="32" t="str">
        <f t="shared" si="39"/>
        <v>Completed</v>
      </c>
      <c r="S280" s="29" t="s">
        <v>45</v>
      </c>
      <c r="T280" s="29" t="s">
        <v>65</v>
      </c>
    </row>
    <row r="281" spans="1:20">
      <c r="A281" s="29" t="s">
        <v>363</v>
      </c>
      <c r="B281" s="33" t="str">
        <f t="shared" si="32"/>
        <v>10-26</v>
      </c>
      <c r="C281" s="30">
        <v>46312</v>
      </c>
      <c r="D281" s="31" t="str">
        <f t="shared" si="33"/>
        <v>Larkana</v>
      </c>
      <c r="E281" s="29" t="s">
        <v>48</v>
      </c>
      <c r="F281" s="29" t="str">
        <f t="shared" si="34"/>
        <v>Larkana</v>
      </c>
      <c r="G281" s="29" t="s">
        <v>48</v>
      </c>
      <c r="H281" s="29" t="str">
        <f t="shared" si="35"/>
        <v>Sme</v>
      </c>
      <c r="I281" s="29" t="s">
        <v>55</v>
      </c>
      <c r="J281" s="29" t="str">
        <f t="shared" si="36"/>
        <v>Current</v>
      </c>
      <c r="K281" s="29" t="s">
        <v>50</v>
      </c>
      <c r="L281" s="29" t="str">
        <f t="shared" si="37"/>
        <v>Withdrawal</v>
      </c>
      <c r="M281" s="29" t="s">
        <v>60</v>
      </c>
      <c r="N281" s="29" t="str">
        <f t="shared" si="38"/>
        <v>Internet Banking</v>
      </c>
      <c r="O281" s="29" t="s">
        <v>78</v>
      </c>
      <c r="P281" s="32">
        <v>25585.52</v>
      </c>
      <c r="Q281" s="32">
        <v>0</v>
      </c>
      <c r="R281" s="32" t="str">
        <f t="shared" si="39"/>
        <v>Completed</v>
      </c>
      <c r="S281" s="29" t="s">
        <v>45</v>
      </c>
      <c r="T281" s="29" t="s">
        <v>53</v>
      </c>
    </row>
    <row r="282" spans="1:20">
      <c r="A282" s="29" t="s">
        <v>364</v>
      </c>
      <c r="B282" s="33" t="str">
        <f t="shared" si="32"/>
        <v>06-25</v>
      </c>
      <c r="C282" s="30">
        <v>45818</v>
      </c>
      <c r="D282" s="31" t="str">
        <f t="shared" si="33"/>
        <v>Hyderabad</v>
      </c>
      <c r="E282" s="29" t="s">
        <v>63</v>
      </c>
      <c r="F282" s="29" t="str">
        <f t="shared" si="34"/>
        <v>Hyderabad</v>
      </c>
      <c r="G282" s="29" t="s">
        <v>63</v>
      </c>
      <c r="H282" s="29" t="str">
        <f t="shared" si="35"/>
        <v>Corporate</v>
      </c>
      <c r="I282" s="29" t="s">
        <v>64</v>
      </c>
      <c r="J282" s="29" t="str">
        <f t="shared" si="36"/>
        <v>Salary</v>
      </c>
      <c r="K282" s="29" t="s">
        <v>56</v>
      </c>
      <c r="L282" s="29" t="str">
        <f t="shared" si="37"/>
        <v>Bill Payment</v>
      </c>
      <c r="M282" s="29" t="s">
        <v>51</v>
      </c>
      <c r="N282" s="29" t="str">
        <f t="shared" si="38"/>
        <v>Internet Banking</v>
      </c>
      <c r="O282" s="29" t="s">
        <v>78</v>
      </c>
      <c r="P282" s="32">
        <v>8423.94</v>
      </c>
      <c r="Q282" s="32">
        <v>89.45</v>
      </c>
      <c r="R282" s="32" t="str">
        <f t="shared" si="39"/>
        <v>Completed</v>
      </c>
      <c r="S282" s="29" t="s">
        <v>45</v>
      </c>
      <c r="T282" s="29" t="s">
        <v>53</v>
      </c>
    </row>
    <row r="283" spans="1:20">
      <c r="A283" s="29" t="s">
        <v>365</v>
      </c>
      <c r="B283" s="33" t="str">
        <f t="shared" si="32"/>
        <v>10-25</v>
      </c>
      <c r="C283" s="30">
        <v>45939</v>
      </c>
      <c r="D283" s="31" t="str">
        <f t="shared" si="33"/>
        <v>Larkana</v>
      </c>
      <c r="E283" s="29" t="s">
        <v>48</v>
      </c>
      <c r="F283" s="29" t="str">
        <f t="shared" si="34"/>
        <v>Larkana</v>
      </c>
      <c r="G283" s="29" t="s">
        <v>48</v>
      </c>
      <c r="H283" s="29" t="str">
        <f t="shared" si="35"/>
        <v>Retail</v>
      </c>
      <c r="I283" s="29" t="s">
        <v>77</v>
      </c>
      <c r="J283" s="29" t="str">
        <f t="shared" si="36"/>
        <v>Current</v>
      </c>
      <c r="K283" s="29" t="s">
        <v>50</v>
      </c>
      <c r="L283" s="29" t="str">
        <f t="shared" si="37"/>
        <v>Withdrawal</v>
      </c>
      <c r="M283" s="29" t="s">
        <v>60</v>
      </c>
      <c r="N283" s="29" t="str">
        <f t="shared" si="38"/>
        <v>Atm</v>
      </c>
      <c r="O283" s="29" t="s">
        <v>52</v>
      </c>
      <c r="P283" s="32">
        <v>26202.01</v>
      </c>
      <c r="Q283" s="32">
        <v>0</v>
      </c>
      <c r="R283" s="32" t="str">
        <f t="shared" si="39"/>
        <v>Completed</v>
      </c>
      <c r="S283" s="29" t="s">
        <v>45</v>
      </c>
      <c r="T283" s="29" t="s">
        <v>53</v>
      </c>
    </row>
    <row r="284" spans="1:20">
      <c r="A284" s="29" t="s">
        <v>366</v>
      </c>
      <c r="B284" s="33" t="str">
        <f t="shared" si="32"/>
        <v>05-26</v>
      </c>
      <c r="C284" s="30">
        <v>46162</v>
      </c>
      <c r="D284" s="31" t="str">
        <f t="shared" si="33"/>
        <v>Karachi Main</v>
      </c>
      <c r="E284" s="29" t="s">
        <v>73</v>
      </c>
      <c r="F284" s="29" t="str">
        <f t="shared" si="34"/>
        <v>Karachi</v>
      </c>
      <c r="G284" s="29" t="s">
        <v>74</v>
      </c>
      <c r="H284" s="29" t="str">
        <f t="shared" si="35"/>
        <v>Corporate</v>
      </c>
      <c r="I284" s="29" t="s">
        <v>268</v>
      </c>
      <c r="J284" s="29" t="str">
        <f t="shared" si="36"/>
        <v>Savings</v>
      </c>
      <c r="K284" s="29" t="s">
        <v>69</v>
      </c>
      <c r="L284" s="29" t="str">
        <f t="shared" si="37"/>
        <v>Bill Payment</v>
      </c>
      <c r="M284" s="29" t="s">
        <v>51</v>
      </c>
      <c r="N284" s="29" t="str">
        <f t="shared" si="38"/>
        <v>Mobile App</v>
      </c>
      <c r="O284" s="29" t="s">
        <v>61</v>
      </c>
      <c r="P284" s="32">
        <v>25158.799999999999</v>
      </c>
      <c r="Q284" s="32">
        <v>84.62</v>
      </c>
      <c r="R284" s="32" t="str">
        <f t="shared" si="39"/>
        <v>Completed</v>
      </c>
      <c r="S284" s="29" t="s">
        <v>45</v>
      </c>
      <c r="T284" s="29" t="s">
        <v>70</v>
      </c>
    </row>
    <row r="285" spans="1:20">
      <c r="A285" s="29" t="s">
        <v>367</v>
      </c>
      <c r="B285" s="33" t="str">
        <f t="shared" si="32"/>
        <v>09-25</v>
      </c>
      <c r="C285" s="30">
        <v>45916</v>
      </c>
      <c r="D285" s="31" t="str">
        <f t="shared" si="33"/>
        <v>Karachi Main</v>
      </c>
      <c r="E285" s="29" t="s">
        <v>73</v>
      </c>
      <c r="F285" s="29" t="str">
        <f t="shared" si="34"/>
        <v>Karachi</v>
      </c>
      <c r="G285" s="29" t="s">
        <v>74</v>
      </c>
      <c r="H285" s="29" t="str">
        <f t="shared" si="35"/>
        <v>Retail</v>
      </c>
      <c r="I285" s="29" t="s">
        <v>77</v>
      </c>
      <c r="J285" s="29" t="str">
        <f t="shared" si="36"/>
        <v>Salary</v>
      </c>
      <c r="K285" s="29" t="s">
        <v>56</v>
      </c>
      <c r="L285" s="29" t="str">
        <f t="shared" si="37"/>
        <v>Transfer</v>
      </c>
      <c r="M285" s="29" t="s">
        <v>83</v>
      </c>
      <c r="N285" s="29" t="str">
        <f t="shared" si="38"/>
        <v>Atm</v>
      </c>
      <c r="O285" s="29" t="s">
        <v>52</v>
      </c>
      <c r="P285" s="32">
        <v>138047.12</v>
      </c>
      <c r="Q285" s="32">
        <v>75.73</v>
      </c>
      <c r="R285" s="32" t="str">
        <f t="shared" si="39"/>
        <v>Completed</v>
      </c>
      <c r="S285" s="29" t="s">
        <v>45</v>
      </c>
      <c r="T285" s="29" t="s">
        <v>53</v>
      </c>
    </row>
    <row r="286" spans="1:20">
      <c r="A286" s="29" t="s">
        <v>368</v>
      </c>
      <c r="B286" s="33" t="str">
        <f t="shared" si="32"/>
        <v>05-25</v>
      </c>
      <c r="C286" s="30">
        <v>45778</v>
      </c>
      <c r="D286" s="31" t="str">
        <f t="shared" si="33"/>
        <v>Nawabshah</v>
      </c>
      <c r="E286" s="29" t="s">
        <v>67</v>
      </c>
      <c r="F286" s="29" t="str">
        <f t="shared" si="34"/>
        <v>Shaheed Benazirabad</v>
      </c>
      <c r="G286" s="29" t="s">
        <v>68</v>
      </c>
      <c r="H286" s="29" t="str">
        <f t="shared" si="35"/>
        <v>Sme</v>
      </c>
      <c r="I286" s="29" t="s">
        <v>55</v>
      </c>
      <c r="J286" s="29" t="str">
        <f t="shared" si="36"/>
        <v>Salary</v>
      </c>
      <c r="K286" s="29" t="s">
        <v>56</v>
      </c>
      <c r="L286" s="29" t="str">
        <f t="shared" si="37"/>
        <v>Transfer</v>
      </c>
      <c r="M286" s="29" t="s">
        <v>83</v>
      </c>
      <c r="N286" s="29" t="str">
        <f t="shared" si="38"/>
        <v>Mobile App</v>
      </c>
      <c r="O286" s="29" t="s">
        <v>61</v>
      </c>
      <c r="P286" s="32">
        <v>5911.09</v>
      </c>
      <c r="Q286" s="32">
        <v>41.47</v>
      </c>
      <c r="R286" s="32" t="str">
        <f t="shared" si="39"/>
        <v>Completed</v>
      </c>
      <c r="S286" s="29" t="s">
        <v>45</v>
      </c>
      <c r="T286" s="29" t="s">
        <v>53</v>
      </c>
    </row>
    <row r="287" spans="1:20">
      <c r="A287" s="29" t="s">
        <v>369</v>
      </c>
      <c r="B287" s="33" t="str">
        <f t="shared" si="32"/>
        <v>11-26</v>
      </c>
      <c r="C287" s="30">
        <v>46336</v>
      </c>
      <c r="D287" s="31" t="str">
        <f t="shared" si="33"/>
        <v>Nawabshah</v>
      </c>
      <c r="E287" s="29" t="s">
        <v>67</v>
      </c>
      <c r="F287" s="29" t="str">
        <f t="shared" si="34"/>
        <v>Shaheed Benazirabad</v>
      </c>
      <c r="G287" s="29" t="s">
        <v>68</v>
      </c>
      <c r="H287" s="29" t="str">
        <f t="shared" si="35"/>
        <v>Sme</v>
      </c>
      <c r="I287" s="29" t="s">
        <v>55</v>
      </c>
      <c r="J287" s="29" t="str">
        <f t="shared" si="36"/>
        <v>Savings</v>
      </c>
      <c r="K287" s="29" t="s">
        <v>69</v>
      </c>
      <c r="L287" s="29" t="str">
        <f t="shared" si="37"/>
        <v>Bill Payment</v>
      </c>
      <c r="M287" s="29" t="s">
        <v>51</v>
      </c>
      <c r="N287" s="29" t="str">
        <f t="shared" si="38"/>
        <v>Internet Banking</v>
      </c>
      <c r="O287" s="29" t="s">
        <v>78</v>
      </c>
      <c r="P287" s="32">
        <v>23625.51</v>
      </c>
      <c r="Q287" s="32">
        <v>74.13</v>
      </c>
      <c r="R287" s="32" t="str">
        <f t="shared" si="39"/>
        <v>Completed</v>
      </c>
      <c r="S287" s="29" t="s">
        <v>45</v>
      </c>
      <c r="T287" s="29" t="s">
        <v>53</v>
      </c>
    </row>
    <row r="288" spans="1:20">
      <c r="A288" s="29" t="s">
        <v>370</v>
      </c>
      <c r="B288" s="33" t="str">
        <f t="shared" si="32"/>
        <v>06-25</v>
      </c>
      <c r="C288" s="30">
        <v>45811</v>
      </c>
      <c r="D288" s="31" t="str">
        <f t="shared" si="33"/>
        <v>Karachi Main</v>
      </c>
      <c r="E288" s="29" t="s">
        <v>73</v>
      </c>
      <c r="F288" s="29" t="str">
        <f t="shared" si="34"/>
        <v>Karachi</v>
      </c>
      <c r="G288" s="29" t="s">
        <v>74</v>
      </c>
      <c r="H288" s="29" t="str">
        <f t="shared" si="35"/>
        <v>Sme</v>
      </c>
      <c r="I288" s="29" t="s">
        <v>55</v>
      </c>
      <c r="J288" s="29" t="str">
        <f t="shared" si="36"/>
        <v>Current</v>
      </c>
      <c r="K288" s="29" t="s">
        <v>50</v>
      </c>
      <c r="L288" s="29" t="str">
        <f t="shared" si="37"/>
        <v>Withdrawal</v>
      </c>
      <c r="M288" s="29" t="s">
        <v>60</v>
      </c>
      <c r="N288" s="29" t="str">
        <f t="shared" si="38"/>
        <v>Internet Banking</v>
      </c>
      <c r="O288" s="29" t="s">
        <v>78</v>
      </c>
      <c r="P288" s="32">
        <v>21786.84</v>
      </c>
      <c r="Q288" s="32">
        <v>0</v>
      </c>
      <c r="R288" s="32" t="str">
        <f t="shared" si="39"/>
        <v>Completed</v>
      </c>
      <c r="S288" s="29" t="s">
        <v>45</v>
      </c>
      <c r="T288" s="29" t="s">
        <v>57</v>
      </c>
    </row>
    <row r="289" spans="1:23">
      <c r="A289" s="29" t="s">
        <v>371</v>
      </c>
      <c r="B289" s="33" t="str">
        <f t="shared" si="32"/>
        <v>06-25</v>
      </c>
      <c r="C289" s="30">
        <v>45823</v>
      </c>
      <c r="D289" s="31" t="str">
        <f t="shared" si="33"/>
        <v>Sukher</v>
      </c>
      <c r="E289" s="29" t="s">
        <v>408</v>
      </c>
      <c r="F289" s="29" t="str">
        <f t="shared" si="34"/>
        <v>Shaheed Benazirabad</v>
      </c>
      <c r="G289" s="29" t="s">
        <v>68</v>
      </c>
      <c r="H289" s="29" t="str">
        <f t="shared" si="35"/>
        <v>Sme</v>
      </c>
      <c r="I289" s="29" t="s">
        <v>55</v>
      </c>
      <c r="J289" s="29" t="str">
        <f t="shared" si="36"/>
        <v>Salary</v>
      </c>
      <c r="K289" s="29" t="s">
        <v>56</v>
      </c>
      <c r="L289" s="29" t="str">
        <f t="shared" si="37"/>
        <v>Withdrawal</v>
      </c>
      <c r="M289" s="29" t="s">
        <v>60</v>
      </c>
      <c r="N289" s="29" t="str">
        <f t="shared" si="38"/>
        <v>Branch</v>
      </c>
      <c r="O289" s="29" t="s">
        <v>30</v>
      </c>
      <c r="P289" s="32">
        <v>52746.09</v>
      </c>
      <c r="Q289" s="32">
        <v>0</v>
      </c>
      <c r="R289" s="32" t="str">
        <f t="shared" si="39"/>
        <v>Completed</v>
      </c>
      <c r="S289" s="29" t="s">
        <v>45</v>
      </c>
      <c r="T289" s="29" t="s">
        <v>70</v>
      </c>
    </row>
    <row r="290" spans="1:23">
      <c r="A290" s="29" t="s">
        <v>373</v>
      </c>
      <c r="B290" s="33" t="str">
        <f t="shared" si="32"/>
        <v>09-26</v>
      </c>
      <c r="C290" s="30">
        <v>46284</v>
      </c>
      <c r="D290" s="31" t="str">
        <f t="shared" si="33"/>
        <v>Sukher</v>
      </c>
      <c r="E290" s="29" t="s">
        <v>408</v>
      </c>
      <c r="F290" s="29" t="str">
        <f t="shared" si="34"/>
        <v>Sukher</v>
      </c>
      <c r="G290" s="29" t="s">
        <v>408</v>
      </c>
      <c r="H290" s="29" t="str">
        <f t="shared" si="35"/>
        <v>Retail</v>
      </c>
      <c r="I290" s="29" t="s">
        <v>77</v>
      </c>
      <c r="J290" s="29" t="str">
        <f t="shared" si="36"/>
        <v>Savings</v>
      </c>
      <c r="K290" s="29" t="s">
        <v>69</v>
      </c>
      <c r="L290" s="29" t="str">
        <f t="shared" si="37"/>
        <v>Deposit</v>
      </c>
      <c r="M290" s="29" t="s">
        <v>43</v>
      </c>
      <c r="N290" s="29" t="str">
        <f t="shared" si="38"/>
        <v>Internet Banking</v>
      </c>
      <c r="O290" s="29" t="s">
        <v>78</v>
      </c>
      <c r="P290" s="32">
        <v>91683.09</v>
      </c>
      <c r="Q290" s="32">
        <v>0</v>
      </c>
      <c r="R290" s="32" t="str">
        <f t="shared" si="39"/>
        <v>Completed</v>
      </c>
      <c r="S290" s="29" t="s">
        <v>45</v>
      </c>
      <c r="T290" s="29" t="s">
        <v>70</v>
      </c>
    </row>
    <row r="291" spans="1:23">
      <c r="A291" s="29" t="s">
        <v>374</v>
      </c>
      <c r="B291" s="33" t="str">
        <f t="shared" si="32"/>
        <v>07-25</v>
      </c>
      <c r="C291" s="30">
        <v>45840</v>
      </c>
      <c r="D291" s="31" t="str">
        <f t="shared" si="33"/>
        <v>Karachi Main</v>
      </c>
      <c r="E291" s="29" t="s">
        <v>73</v>
      </c>
      <c r="F291" s="29" t="str">
        <f t="shared" si="34"/>
        <v>Karachi</v>
      </c>
      <c r="G291" s="29" t="s">
        <v>74</v>
      </c>
      <c r="H291" s="29" t="str">
        <f t="shared" si="35"/>
        <v>Retail</v>
      </c>
      <c r="I291" s="29" t="s">
        <v>77</v>
      </c>
      <c r="J291" s="29" t="str">
        <f t="shared" si="36"/>
        <v>Current</v>
      </c>
      <c r="K291" s="29" t="s">
        <v>50</v>
      </c>
      <c r="L291" s="29" t="str">
        <f t="shared" si="37"/>
        <v>Withdrawal</v>
      </c>
      <c r="M291" s="29" t="s">
        <v>60</v>
      </c>
      <c r="N291" s="29" t="str">
        <f t="shared" si="38"/>
        <v>Atm</v>
      </c>
      <c r="O291" s="29" t="s">
        <v>52</v>
      </c>
      <c r="P291" s="32">
        <v>3209.79</v>
      </c>
      <c r="Q291" s="32">
        <v>0</v>
      </c>
      <c r="R291" s="32" t="str">
        <f t="shared" si="39"/>
        <v>Completed</v>
      </c>
      <c r="S291" s="29" t="s">
        <v>45</v>
      </c>
      <c r="T291" s="29" t="s">
        <v>65</v>
      </c>
    </row>
    <row r="292" spans="1:23">
      <c r="A292" s="29" t="s">
        <v>375</v>
      </c>
      <c r="B292" s="33" t="str">
        <f t="shared" si="32"/>
        <v>08-25</v>
      </c>
      <c r="C292" s="30">
        <v>45893</v>
      </c>
      <c r="D292" s="31" t="str">
        <f t="shared" si="33"/>
        <v>Sukher</v>
      </c>
      <c r="E292" s="29" t="s">
        <v>408</v>
      </c>
      <c r="F292" s="29" t="str">
        <f t="shared" si="34"/>
        <v>Sukher</v>
      </c>
      <c r="G292" s="29" t="s">
        <v>408</v>
      </c>
      <c r="H292" s="29" t="str">
        <f t="shared" si="35"/>
        <v>Corporate</v>
      </c>
      <c r="I292" s="29" t="s">
        <v>64</v>
      </c>
      <c r="J292" s="29" t="str">
        <f t="shared" si="36"/>
        <v>Salary</v>
      </c>
      <c r="K292" s="29" t="s">
        <v>56</v>
      </c>
      <c r="L292" s="29" t="str">
        <f t="shared" si="37"/>
        <v>Withdrawal</v>
      </c>
      <c r="M292" s="29" t="s">
        <v>60</v>
      </c>
      <c r="N292" s="29" t="str">
        <f t="shared" si="38"/>
        <v>Atm</v>
      </c>
      <c r="O292" s="29" t="s">
        <v>52</v>
      </c>
      <c r="P292" s="32">
        <v>11322.53</v>
      </c>
      <c r="Q292" s="32">
        <v>0</v>
      </c>
      <c r="R292" s="32" t="str">
        <f t="shared" si="39"/>
        <v>Completed</v>
      </c>
      <c r="S292" s="29" t="s">
        <v>45</v>
      </c>
      <c r="T292" s="29" t="s">
        <v>46</v>
      </c>
    </row>
    <row r="293" spans="1:23">
      <c r="A293" s="29" t="s">
        <v>376</v>
      </c>
      <c r="B293" s="33" t="str">
        <f t="shared" si="32"/>
        <v>12-26</v>
      </c>
      <c r="C293" s="30">
        <v>46363</v>
      </c>
      <c r="D293" s="31" t="str">
        <f t="shared" si="33"/>
        <v>Larkana</v>
      </c>
      <c r="E293" s="29" t="s">
        <v>48</v>
      </c>
      <c r="F293" s="29" t="str">
        <f t="shared" si="34"/>
        <v>Larkana</v>
      </c>
      <c r="G293" s="29" t="s">
        <v>48</v>
      </c>
      <c r="H293" s="29" t="str">
        <f t="shared" si="35"/>
        <v>Retail</v>
      </c>
      <c r="I293" s="29" t="s">
        <v>77</v>
      </c>
      <c r="J293" s="29" t="str">
        <f t="shared" si="36"/>
        <v>Current</v>
      </c>
      <c r="K293" s="29" t="s">
        <v>50</v>
      </c>
      <c r="L293" s="29" t="str">
        <f t="shared" si="37"/>
        <v>Withdrawal</v>
      </c>
      <c r="M293" s="29" t="s">
        <v>60</v>
      </c>
      <c r="N293" s="29" t="str">
        <f t="shared" si="38"/>
        <v>Mobile App</v>
      </c>
      <c r="O293" s="29" t="s">
        <v>61</v>
      </c>
      <c r="P293" s="32">
        <v>51128.35</v>
      </c>
      <c r="Q293" s="32">
        <v>0</v>
      </c>
      <c r="R293" s="32" t="str">
        <f t="shared" si="39"/>
        <v>Pending</v>
      </c>
      <c r="S293" s="29" t="s">
        <v>84</v>
      </c>
      <c r="T293" s="29" t="s">
        <v>53</v>
      </c>
    </row>
    <row r="294" spans="1:23">
      <c r="A294" s="29" t="s">
        <v>377</v>
      </c>
      <c r="B294" s="33" t="str">
        <f t="shared" si="32"/>
        <v>01-25</v>
      </c>
      <c r="C294" s="30">
        <v>45662</v>
      </c>
      <c r="D294" s="31" t="str">
        <f t="shared" si="33"/>
        <v>Larkana</v>
      </c>
      <c r="E294" s="29" t="s">
        <v>48</v>
      </c>
      <c r="F294" s="29" t="str">
        <f t="shared" si="34"/>
        <v>Larkana</v>
      </c>
      <c r="G294" s="29" t="s">
        <v>48</v>
      </c>
      <c r="H294" s="29" t="str">
        <f t="shared" si="35"/>
        <v>Retail</v>
      </c>
      <c r="I294" s="29" t="s">
        <v>77</v>
      </c>
      <c r="J294" s="29" t="str">
        <f t="shared" si="36"/>
        <v>Current</v>
      </c>
      <c r="K294" s="29" t="s">
        <v>50</v>
      </c>
      <c r="L294" s="29" t="str">
        <f t="shared" si="37"/>
        <v>Bill Payment</v>
      </c>
      <c r="M294" s="29" t="s">
        <v>51</v>
      </c>
      <c r="N294" s="29" t="str">
        <f t="shared" si="38"/>
        <v>Branch</v>
      </c>
      <c r="O294" s="29" t="s">
        <v>30</v>
      </c>
      <c r="P294" s="32">
        <v>7672.95</v>
      </c>
      <c r="Q294" s="32">
        <v>56.27</v>
      </c>
      <c r="R294" s="32" t="str">
        <f t="shared" si="39"/>
        <v>Completed</v>
      </c>
      <c r="S294" s="29" t="s">
        <v>45</v>
      </c>
      <c r="T294" s="29" t="s">
        <v>53</v>
      </c>
    </row>
    <row r="295" spans="1:23">
      <c r="A295" s="29" t="s">
        <v>378</v>
      </c>
      <c r="B295" s="33" t="str">
        <f t="shared" si="32"/>
        <v>09-25</v>
      </c>
      <c r="C295" s="30">
        <v>45911</v>
      </c>
      <c r="D295" s="31" t="str">
        <f t="shared" si="33"/>
        <v>Nawabshah</v>
      </c>
      <c r="E295" s="29" t="s">
        <v>67</v>
      </c>
      <c r="F295" s="29" t="str">
        <f t="shared" si="34"/>
        <v>Shaheed Benazirabad</v>
      </c>
      <c r="G295" s="29" t="s">
        <v>68</v>
      </c>
      <c r="H295" s="29" t="str">
        <f t="shared" si="35"/>
        <v>Premium</v>
      </c>
      <c r="I295" s="29" t="s">
        <v>49</v>
      </c>
      <c r="J295" s="29" t="str">
        <f t="shared" si="36"/>
        <v>Current</v>
      </c>
      <c r="K295" s="29" t="s">
        <v>50</v>
      </c>
      <c r="L295" s="29" t="str">
        <f t="shared" si="37"/>
        <v>Deposit</v>
      </c>
      <c r="M295" s="29" t="s">
        <v>43</v>
      </c>
      <c r="N295" s="29" t="str">
        <f t="shared" si="38"/>
        <v>Atm</v>
      </c>
      <c r="O295" s="29" t="s">
        <v>52</v>
      </c>
      <c r="P295" s="32">
        <v>28825.06</v>
      </c>
      <c r="Q295" s="32">
        <v>0</v>
      </c>
      <c r="R295" s="32" t="str">
        <f t="shared" si="39"/>
        <v>Completed</v>
      </c>
      <c r="S295" s="29" t="s">
        <v>45</v>
      </c>
      <c r="T295" s="29" t="s">
        <v>70</v>
      </c>
    </row>
    <row r="296" spans="1:23">
      <c r="A296" s="29" t="s">
        <v>379</v>
      </c>
      <c r="B296" s="33" t="str">
        <f t="shared" si="32"/>
        <v>04-26</v>
      </c>
      <c r="C296" s="30">
        <v>46133</v>
      </c>
      <c r="D296" s="31" t="str">
        <f t="shared" si="33"/>
        <v>Larkana</v>
      </c>
      <c r="E296" s="29" t="s">
        <v>48</v>
      </c>
      <c r="F296" s="29" t="str">
        <f t="shared" si="34"/>
        <v>Larkana</v>
      </c>
      <c r="G296" s="29" t="s">
        <v>48</v>
      </c>
      <c r="H296" s="29" t="str">
        <f t="shared" si="35"/>
        <v>Corporate</v>
      </c>
      <c r="I296" s="29" t="s">
        <v>64</v>
      </c>
      <c r="J296" s="29" t="str">
        <f t="shared" si="36"/>
        <v>Salary</v>
      </c>
      <c r="K296" s="29" t="s">
        <v>56</v>
      </c>
      <c r="L296" s="29" t="str">
        <f t="shared" si="37"/>
        <v>Withdrawal</v>
      </c>
      <c r="M296" s="29" t="s">
        <v>60</v>
      </c>
      <c r="N296" s="29" t="str">
        <f t="shared" si="38"/>
        <v>Atm</v>
      </c>
      <c r="O296" s="29" t="s">
        <v>52</v>
      </c>
      <c r="P296" s="32">
        <v>24246.71</v>
      </c>
      <c r="Q296" s="32">
        <v>0</v>
      </c>
      <c r="R296" s="32" t="str">
        <f t="shared" si="39"/>
        <v>Completed</v>
      </c>
      <c r="S296" s="29" t="s">
        <v>45</v>
      </c>
      <c r="T296" s="29" t="s">
        <v>46</v>
      </c>
    </row>
    <row r="297" spans="1:23">
      <c r="A297" s="29" t="s">
        <v>380</v>
      </c>
      <c r="B297" s="33" t="str">
        <f t="shared" si="32"/>
        <v>05-25</v>
      </c>
      <c r="C297" s="30">
        <v>45804</v>
      </c>
      <c r="D297" s="31" t="str">
        <f t="shared" si="33"/>
        <v>Karachi Main</v>
      </c>
      <c r="E297" s="29" t="s">
        <v>73</v>
      </c>
      <c r="F297" s="29" t="str">
        <f t="shared" si="34"/>
        <v>Karachi</v>
      </c>
      <c r="G297" s="29" t="s">
        <v>74</v>
      </c>
      <c r="H297" s="29" t="str">
        <f t="shared" si="35"/>
        <v>Sme</v>
      </c>
      <c r="I297" s="29" t="s">
        <v>55</v>
      </c>
      <c r="J297" s="29" t="str">
        <f t="shared" si="36"/>
        <v>Current</v>
      </c>
      <c r="K297" s="29" t="s">
        <v>50</v>
      </c>
      <c r="L297" s="29" t="str">
        <f t="shared" si="37"/>
        <v>Bill Payment</v>
      </c>
      <c r="M297" s="29" t="s">
        <v>51</v>
      </c>
      <c r="N297" s="29" t="str">
        <f t="shared" si="38"/>
        <v>Internet Banking</v>
      </c>
      <c r="O297" s="29" t="s">
        <v>78</v>
      </c>
      <c r="P297" s="32">
        <v>20714.400000000001</v>
      </c>
      <c r="Q297" s="32">
        <v>68.569999999999993</v>
      </c>
      <c r="R297" s="32" t="str">
        <f t="shared" si="39"/>
        <v>Completed</v>
      </c>
      <c r="S297" s="29" t="s">
        <v>45</v>
      </c>
      <c r="T297" s="29" t="s">
        <v>53</v>
      </c>
    </row>
    <row r="298" spans="1:23">
      <c r="A298" s="29" t="s">
        <v>381</v>
      </c>
      <c r="B298" s="33" t="str">
        <f t="shared" si="32"/>
        <v>10-25</v>
      </c>
      <c r="C298" s="30">
        <v>45932</v>
      </c>
      <c r="D298" s="31" t="str">
        <f t="shared" si="33"/>
        <v>Hyderabad</v>
      </c>
      <c r="E298" s="29" t="s">
        <v>109</v>
      </c>
      <c r="F298" s="29" t="str">
        <f t="shared" si="34"/>
        <v>Hyderabad</v>
      </c>
      <c r="G298" s="29" t="s">
        <v>63</v>
      </c>
      <c r="H298" s="29" t="str">
        <f t="shared" si="35"/>
        <v>Retail</v>
      </c>
      <c r="I298" s="29" t="s">
        <v>77</v>
      </c>
      <c r="J298" s="29" t="str">
        <f t="shared" si="36"/>
        <v>Savings</v>
      </c>
      <c r="K298" s="29" t="s">
        <v>69</v>
      </c>
      <c r="L298" s="29" t="str">
        <f t="shared" si="37"/>
        <v>Deposit</v>
      </c>
      <c r="M298" s="29" t="s">
        <v>43</v>
      </c>
      <c r="N298" s="29" t="str">
        <f t="shared" si="38"/>
        <v>Internet Banking</v>
      </c>
      <c r="O298" s="29" t="s">
        <v>78</v>
      </c>
      <c r="P298" s="32">
        <v>91993.48</v>
      </c>
      <c r="Q298" s="32">
        <v>0</v>
      </c>
      <c r="R298" s="32" t="str">
        <f t="shared" si="39"/>
        <v>Completed</v>
      </c>
      <c r="S298" s="29" t="s">
        <v>45</v>
      </c>
      <c r="T298" s="29" t="s">
        <v>70</v>
      </c>
    </row>
    <row r="299" spans="1:23">
      <c r="A299" s="29" t="s">
        <v>382</v>
      </c>
      <c r="B299" s="33" t="str">
        <f t="shared" si="32"/>
        <v>03-26</v>
      </c>
      <c r="C299" s="30">
        <v>46092</v>
      </c>
      <c r="D299" s="31" t="str">
        <f t="shared" si="33"/>
        <v>Karachi Main</v>
      </c>
      <c r="E299" s="29" t="s">
        <v>73</v>
      </c>
      <c r="F299" s="29" t="str">
        <f t="shared" si="34"/>
        <v>Karachi</v>
      </c>
      <c r="G299" s="29" t="s">
        <v>74</v>
      </c>
      <c r="H299" s="29" t="str">
        <f t="shared" si="35"/>
        <v>Premium</v>
      </c>
      <c r="I299" s="29" t="s">
        <v>49</v>
      </c>
      <c r="J299" s="29" t="str">
        <f t="shared" si="36"/>
        <v>Salary</v>
      </c>
      <c r="K299" s="29" t="s">
        <v>56</v>
      </c>
      <c r="L299" s="29" t="str">
        <f t="shared" si="37"/>
        <v>Bill Payment</v>
      </c>
      <c r="M299" s="29" t="s">
        <v>51</v>
      </c>
      <c r="N299" s="29" t="str">
        <f t="shared" si="38"/>
        <v>Internet Banking</v>
      </c>
      <c r="O299" s="29" t="s">
        <v>78</v>
      </c>
      <c r="P299" s="32">
        <v>28582.77</v>
      </c>
      <c r="Q299" s="32">
        <v>19.940000000000001</v>
      </c>
      <c r="R299" s="32" t="str">
        <f t="shared" si="39"/>
        <v>Completed</v>
      </c>
      <c r="S299" s="29" t="s">
        <v>45</v>
      </c>
      <c r="T299" s="29" t="s">
        <v>53</v>
      </c>
    </row>
    <row r="300" spans="1:23">
      <c r="A300" s="29" t="s">
        <v>383</v>
      </c>
      <c r="B300" s="33" t="str">
        <f t="shared" si="32"/>
        <v>03-25</v>
      </c>
      <c r="C300" s="30">
        <v>45738</v>
      </c>
      <c r="D300" s="31" t="str">
        <f t="shared" si="33"/>
        <v>Larkana</v>
      </c>
      <c r="E300" s="29" t="s">
        <v>48</v>
      </c>
      <c r="F300" s="29" t="str">
        <f t="shared" si="34"/>
        <v>Larkana</v>
      </c>
      <c r="G300" s="29" t="s">
        <v>48</v>
      </c>
      <c r="H300" s="29" t="str">
        <f t="shared" si="35"/>
        <v>Premium</v>
      </c>
      <c r="I300" s="29" t="s">
        <v>49</v>
      </c>
      <c r="J300" s="29" t="str">
        <f t="shared" si="36"/>
        <v>Savings</v>
      </c>
      <c r="K300" s="29" t="s">
        <v>69</v>
      </c>
      <c r="L300" s="29" t="str">
        <f t="shared" si="37"/>
        <v>Deposit</v>
      </c>
      <c r="M300" s="29" t="s">
        <v>43</v>
      </c>
      <c r="N300" s="29" t="str">
        <f t="shared" si="38"/>
        <v>Internet Banking</v>
      </c>
      <c r="O300" s="29" t="s">
        <v>78</v>
      </c>
      <c r="P300" s="32">
        <v>85149.01</v>
      </c>
      <c r="Q300" s="32">
        <v>0</v>
      </c>
      <c r="R300" s="32" t="str">
        <f t="shared" si="39"/>
        <v>Completed</v>
      </c>
      <c r="S300" s="29" t="s">
        <v>45</v>
      </c>
      <c r="T300" s="29" t="s">
        <v>53</v>
      </c>
      <c r="W300">
        <f>IF(ISNUMBER(C:C),C:C,DATE(RIGHT(C:C,4),LEFT(C:C,2),MID(C:C,4,2)))</f>
        <v>45738</v>
      </c>
    </row>
    <row r="301" spans="1:23">
      <c r="A301" s="29" t="s">
        <v>384</v>
      </c>
      <c r="B301" s="33" t="str">
        <f t="shared" si="32"/>
        <v>10-25</v>
      </c>
      <c r="C301" s="30">
        <v>45953</v>
      </c>
      <c r="D301" s="31" t="str">
        <f t="shared" si="33"/>
        <v>Karachi Main</v>
      </c>
      <c r="E301" s="29" t="s">
        <v>73</v>
      </c>
      <c r="F301" s="29" t="str">
        <f t="shared" si="34"/>
        <v>Karachi</v>
      </c>
      <c r="G301" s="29" t="s">
        <v>74</v>
      </c>
      <c r="H301" s="29" t="str">
        <f t="shared" si="35"/>
        <v>Corporate</v>
      </c>
      <c r="I301" s="29" t="s">
        <v>64</v>
      </c>
      <c r="J301" s="29" t="str">
        <f t="shared" si="36"/>
        <v>Savings</v>
      </c>
      <c r="K301" s="29" t="s">
        <v>69</v>
      </c>
      <c r="L301" s="29" t="str">
        <f t="shared" si="37"/>
        <v>Withdrawal</v>
      </c>
      <c r="M301" s="29" t="s">
        <v>60</v>
      </c>
      <c r="N301" s="29" t="str">
        <f t="shared" si="38"/>
        <v>Mobile App</v>
      </c>
      <c r="O301" s="29" t="s">
        <v>61</v>
      </c>
      <c r="P301" s="32">
        <v>14638.22</v>
      </c>
      <c r="Q301" s="32">
        <v>0</v>
      </c>
      <c r="R301" s="32" t="str">
        <f t="shared" si="39"/>
        <v>Completed</v>
      </c>
      <c r="S301" s="29" t="s">
        <v>45</v>
      </c>
      <c r="T301" s="29" t="s">
        <v>46</v>
      </c>
    </row>
    <row r="302" spans="1:23">
      <c r="A302" s="29" t="s">
        <v>385</v>
      </c>
      <c r="B302" s="33" t="str">
        <f t="shared" si="32"/>
        <v>01-26</v>
      </c>
      <c r="C302" s="30">
        <v>46028</v>
      </c>
      <c r="D302" s="31" t="str">
        <f t="shared" si="33"/>
        <v>Hyderabad</v>
      </c>
      <c r="E302" s="29" t="s">
        <v>63</v>
      </c>
      <c r="F302" s="29" t="str">
        <f t="shared" si="34"/>
        <v>Hyderabad</v>
      </c>
      <c r="G302" s="29" t="s">
        <v>63</v>
      </c>
      <c r="H302" s="29" t="str">
        <f t="shared" si="35"/>
        <v>Corporate</v>
      </c>
      <c r="I302" s="29" t="s">
        <v>64</v>
      </c>
      <c r="J302" s="29" t="str">
        <f t="shared" si="36"/>
        <v>Salary</v>
      </c>
      <c r="K302" s="29" t="s">
        <v>56</v>
      </c>
      <c r="L302" s="29" t="str">
        <f t="shared" si="37"/>
        <v>Transfer</v>
      </c>
      <c r="M302" s="29" t="s">
        <v>83</v>
      </c>
      <c r="N302" s="29" t="str">
        <f t="shared" si="38"/>
        <v>Branch</v>
      </c>
      <c r="O302" s="29" t="s">
        <v>30</v>
      </c>
      <c r="P302" s="32">
        <v>168757.97</v>
      </c>
      <c r="Q302" s="32">
        <v>43.14</v>
      </c>
      <c r="R302" s="32" t="str">
        <f t="shared" si="39"/>
        <v>Completed</v>
      </c>
      <c r="S302" s="29" t="s">
        <v>45</v>
      </c>
      <c r="T302" s="29" t="s">
        <v>75</v>
      </c>
    </row>
    <row r="303" spans="1:23">
      <c r="A303" s="29" t="s">
        <v>386</v>
      </c>
      <c r="B303" s="33" t="str">
        <f t="shared" si="32"/>
        <v>04-25</v>
      </c>
      <c r="C303" s="30">
        <v>45754</v>
      </c>
      <c r="D303" s="31" t="str">
        <f t="shared" si="33"/>
        <v>Hyderabad</v>
      </c>
      <c r="E303" s="29" t="s">
        <v>63</v>
      </c>
      <c r="F303" s="29" t="str">
        <f t="shared" si="34"/>
        <v>Hyderabad</v>
      </c>
      <c r="G303" s="29" t="s">
        <v>63</v>
      </c>
      <c r="H303" s="29" t="str">
        <f t="shared" si="35"/>
        <v>Retail</v>
      </c>
      <c r="I303" s="29" t="s">
        <v>77</v>
      </c>
      <c r="J303" s="29" t="str">
        <f t="shared" si="36"/>
        <v>Current</v>
      </c>
      <c r="K303" s="29" t="s">
        <v>50</v>
      </c>
      <c r="L303" s="29" t="str">
        <f t="shared" si="37"/>
        <v>Bill Payment</v>
      </c>
      <c r="M303" s="29" t="s">
        <v>51</v>
      </c>
      <c r="N303" s="29" t="str">
        <f t="shared" si="38"/>
        <v>Branch</v>
      </c>
      <c r="O303" s="29" t="s">
        <v>30</v>
      </c>
      <c r="P303" s="32">
        <v>29951.8</v>
      </c>
      <c r="Q303" s="32">
        <v>93.29</v>
      </c>
      <c r="R303" s="32" t="str">
        <f t="shared" si="39"/>
        <v>Completed</v>
      </c>
      <c r="S303" s="29" t="s">
        <v>45</v>
      </c>
      <c r="T303" s="29" t="s">
        <v>57</v>
      </c>
    </row>
    <row r="304" spans="1:23">
      <c r="A304" s="29" t="s">
        <v>387</v>
      </c>
      <c r="B304" s="33" t="str">
        <f t="shared" si="32"/>
        <v>09-25</v>
      </c>
      <c r="C304" s="30">
        <v>45908</v>
      </c>
      <c r="D304" s="31" t="str">
        <f t="shared" si="33"/>
        <v>Hyderabad</v>
      </c>
      <c r="E304" s="29" t="s">
        <v>63</v>
      </c>
      <c r="F304" s="29" t="str">
        <f t="shared" si="34"/>
        <v>Hyderabad</v>
      </c>
      <c r="G304" s="29" t="s">
        <v>63</v>
      </c>
      <c r="H304" s="29" t="str">
        <f t="shared" si="35"/>
        <v>Sme</v>
      </c>
      <c r="I304" s="29" t="s">
        <v>55</v>
      </c>
      <c r="J304" s="29" t="str">
        <f t="shared" si="36"/>
        <v>Salary</v>
      </c>
      <c r="K304" s="29" t="s">
        <v>56</v>
      </c>
      <c r="L304" s="29" t="str">
        <f t="shared" si="37"/>
        <v>Withdrawal</v>
      </c>
      <c r="M304" s="29" t="s">
        <v>60</v>
      </c>
      <c r="N304" s="29" t="str">
        <f t="shared" si="38"/>
        <v>Branch</v>
      </c>
      <c r="O304" s="29" t="s">
        <v>30</v>
      </c>
      <c r="P304" s="32">
        <v>72413.42</v>
      </c>
      <c r="Q304" s="32">
        <v>0</v>
      </c>
      <c r="R304" s="32" t="str">
        <f t="shared" si="39"/>
        <v>Pending</v>
      </c>
      <c r="S304" s="29" t="s">
        <v>84</v>
      </c>
      <c r="T304" s="29" t="s">
        <v>53</v>
      </c>
    </row>
    <row r="305" spans="1:20">
      <c r="A305" s="29" t="s">
        <v>388</v>
      </c>
      <c r="B305" s="33" t="str">
        <f t="shared" si="32"/>
        <v>06-26</v>
      </c>
      <c r="C305" s="30">
        <v>46201</v>
      </c>
      <c r="D305" s="31" t="str">
        <f t="shared" si="33"/>
        <v>Nawabshah</v>
      </c>
      <c r="E305" s="29" t="s">
        <v>67</v>
      </c>
      <c r="F305" s="29" t="str">
        <f t="shared" si="34"/>
        <v>Shaheed Benazirabad</v>
      </c>
      <c r="G305" s="29" t="s">
        <v>68</v>
      </c>
      <c r="H305" s="29" t="str">
        <f t="shared" si="35"/>
        <v>Premium</v>
      </c>
      <c r="I305" s="29" t="s">
        <v>49</v>
      </c>
      <c r="J305" s="29" t="str">
        <f t="shared" si="36"/>
        <v>Savings</v>
      </c>
      <c r="K305" s="29" t="s">
        <v>69</v>
      </c>
      <c r="L305" s="29" t="str">
        <f t="shared" si="37"/>
        <v>Bill Payment</v>
      </c>
      <c r="M305" s="29" t="s">
        <v>51</v>
      </c>
      <c r="N305" s="29" t="str">
        <f t="shared" si="38"/>
        <v>Branch</v>
      </c>
      <c r="O305" s="29" t="s">
        <v>30</v>
      </c>
      <c r="P305" s="32">
        <v>9186.34</v>
      </c>
      <c r="Q305" s="32">
        <v>65.53</v>
      </c>
      <c r="R305" s="32" t="str">
        <f t="shared" si="39"/>
        <v>Completed</v>
      </c>
      <c r="S305" s="29" t="s">
        <v>45</v>
      </c>
      <c r="T305" s="29" t="s">
        <v>57</v>
      </c>
    </row>
    <row r="306" spans="1:20">
      <c r="A306" s="29" t="s">
        <v>389</v>
      </c>
      <c r="B306" s="33" t="str">
        <f t="shared" si="32"/>
        <v>09-25</v>
      </c>
      <c r="C306" s="30">
        <v>45917</v>
      </c>
      <c r="D306" s="31" t="str">
        <f t="shared" si="33"/>
        <v>Karachi Main</v>
      </c>
      <c r="E306" s="29" t="s">
        <v>73</v>
      </c>
      <c r="F306" s="29" t="str">
        <f t="shared" si="34"/>
        <v>Karachi</v>
      </c>
      <c r="G306" s="29" t="s">
        <v>74</v>
      </c>
      <c r="H306" s="29" t="str">
        <f t="shared" si="35"/>
        <v>Premium</v>
      </c>
      <c r="I306" s="29" t="s">
        <v>49</v>
      </c>
      <c r="J306" s="29" t="str">
        <f t="shared" si="36"/>
        <v>Savings</v>
      </c>
      <c r="K306" s="29" t="s">
        <v>69</v>
      </c>
      <c r="L306" s="29" t="str">
        <f t="shared" si="37"/>
        <v>Withdrawal</v>
      </c>
      <c r="M306" s="29" t="s">
        <v>60</v>
      </c>
      <c r="N306" s="29" t="str">
        <f t="shared" si="38"/>
        <v>Atm</v>
      </c>
      <c r="O306" s="29" t="s">
        <v>52</v>
      </c>
      <c r="P306" s="32">
        <v>21159.59</v>
      </c>
      <c r="Q306" s="32">
        <v>0</v>
      </c>
      <c r="R306" s="32" t="str">
        <f t="shared" si="39"/>
        <v>Completed</v>
      </c>
      <c r="S306" s="29" t="s">
        <v>45</v>
      </c>
      <c r="T306" s="29" t="s">
        <v>46</v>
      </c>
    </row>
    <row r="307" spans="1:20">
      <c r="A307" s="29" t="s">
        <v>390</v>
      </c>
      <c r="B307" s="33" t="str">
        <f t="shared" si="32"/>
        <v>05-25</v>
      </c>
      <c r="C307" s="30">
        <v>45793</v>
      </c>
      <c r="D307" s="31" t="str">
        <f t="shared" si="33"/>
        <v>Karachi Main</v>
      </c>
      <c r="E307" s="29" t="s">
        <v>73</v>
      </c>
      <c r="F307" s="29" t="str">
        <f t="shared" si="34"/>
        <v>Karachi</v>
      </c>
      <c r="G307" s="29" t="s">
        <v>74</v>
      </c>
      <c r="H307" s="29" t="str">
        <f t="shared" si="35"/>
        <v>Premium</v>
      </c>
      <c r="I307" s="29" t="s">
        <v>49</v>
      </c>
      <c r="J307" s="29" t="str">
        <f t="shared" si="36"/>
        <v>Current</v>
      </c>
      <c r="K307" s="29" t="s">
        <v>50</v>
      </c>
      <c r="L307" s="29" t="str">
        <f t="shared" si="37"/>
        <v>Withdrawal</v>
      </c>
      <c r="M307" s="29" t="s">
        <v>60</v>
      </c>
      <c r="N307" s="29" t="str">
        <f t="shared" si="38"/>
        <v>Mobile App</v>
      </c>
      <c r="O307" s="29" t="s">
        <v>61</v>
      </c>
      <c r="P307" s="32">
        <v>14225.53</v>
      </c>
      <c r="Q307" s="32">
        <v>0</v>
      </c>
      <c r="R307" s="32" t="str">
        <f t="shared" si="39"/>
        <v>Completed</v>
      </c>
      <c r="S307" s="29" t="s">
        <v>45</v>
      </c>
      <c r="T307" s="29" t="s">
        <v>75</v>
      </c>
    </row>
    <row r="308" spans="1:20">
      <c r="A308" s="29" t="s">
        <v>391</v>
      </c>
      <c r="B308" s="33" t="str">
        <f t="shared" si="32"/>
        <v>01-26</v>
      </c>
      <c r="C308" s="30">
        <v>46023</v>
      </c>
      <c r="D308" s="31" t="str">
        <f t="shared" si="33"/>
        <v>Hyderabad</v>
      </c>
      <c r="E308" s="29" t="s">
        <v>63</v>
      </c>
      <c r="F308" s="29" t="str">
        <f t="shared" si="34"/>
        <v>Hyderabad</v>
      </c>
      <c r="G308" s="29" t="s">
        <v>63</v>
      </c>
      <c r="H308" s="29" t="str">
        <f t="shared" si="35"/>
        <v>Retail</v>
      </c>
      <c r="I308" s="29" t="s">
        <v>77</v>
      </c>
      <c r="J308" s="29" t="str">
        <f t="shared" si="36"/>
        <v>Savings</v>
      </c>
      <c r="K308" s="29" t="s">
        <v>69</v>
      </c>
      <c r="L308" s="29" t="str">
        <f t="shared" si="37"/>
        <v>Transfer</v>
      </c>
      <c r="M308" s="29" t="s">
        <v>83</v>
      </c>
      <c r="N308" s="29" t="str">
        <f t="shared" si="38"/>
        <v>Atm</v>
      </c>
      <c r="O308" s="29" t="s">
        <v>52</v>
      </c>
      <c r="P308" s="32">
        <v>76751</v>
      </c>
      <c r="Q308" s="32">
        <v>89.2</v>
      </c>
      <c r="R308" s="32" t="str">
        <f t="shared" si="39"/>
        <v>Pending</v>
      </c>
      <c r="S308" s="29" t="s">
        <v>84</v>
      </c>
      <c r="T308" s="29" t="s">
        <v>65</v>
      </c>
    </row>
    <row r="309" spans="1:20">
      <c r="A309" s="29" t="s">
        <v>392</v>
      </c>
      <c r="B309" s="33" t="str">
        <f t="shared" si="32"/>
        <v>09-25</v>
      </c>
      <c r="C309" s="30">
        <v>45924</v>
      </c>
      <c r="D309" s="31" t="str">
        <f t="shared" si="33"/>
        <v>Hyderabad</v>
      </c>
      <c r="E309" s="29" t="s">
        <v>63</v>
      </c>
      <c r="F309" s="29" t="str">
        <f t="shared" si="34"/>
        <v>Hyderabad</v>
      </c>
      <c r="G309" s="29" t="s">
        <v>63</v>
      </c>
      <c r="H309" s="29" t="str">
        <f t="shared" si="35"/>
        <v>Retail</v>
      </c>
      <c r="I309" s="29" t="s">
        <v>77</v>
      </c>
      <c r="J309" s="29" t="str">
        <f t="shared" si="36"/>
        <v>Savings</v>
      </c>
      <c r="K309" s="29" t="s">
        <v>69</v>
      </c>
      <c r="L309" s="29" t="str">
        <f t="shared" si="37"/>
        <v>Transfer</v>
      </c>
      <c r="M309" s="29" t="s">
        <v>83</v>
      </c>
      <c r="N309" s="29" t="str">
        <f t="shared" si="38"/>
        <v>Atm</v>
      </c>
      <c r="O309" s="29" t="s">
        <v>52</v>
      </c>
      <c r="P309" s="32">
        <v>5543.83</v>
      </c>
      <c r="Q309" s="32">
        <v>123.35</v>
      </c>
      <c r="R309" s="32" t="str">
        <f t="shared" si="39"/>
        <v>Pending</v>
      </c>
      <c r="S309" s="29" t="s">
        <v>84</v>
      </c>
      <c r="T309" s="29" t="s">
        <v>70</v>
      </c>
    </row>
    <row r="310" spans="1:20">
      <c r="A310" s="29" t="s">
        <v>393</v>
      </c>
      <c r="B310" s="33" t="str">
        <f t="shared" si="32"/>
        <v>10-25</v>
      </c>
      <c r="C310" s="30">
        <v>45954</v>
      </c>
      <c r="D310" s="31" t="str">
        <f t="shared" si="33"/>
        <v>Hyderabad</v>
      </c>
      <c r="E310" s="29" t="s">
        <v>63</v>
      </c>
      <c r="F310" s="29" t="str">
        <f t="shared" si="34"/>
        <v>Hyderabad</v>
      </c>
      <c r="G310" s="29" t="s">
        <v>63</v>
      </c>
      <c r="H310" s="29" t="str">
        <f t="shared" si="35"/>
        <v>Retail</v>
      </c>
      <c r="I310" s="29" t="s">
        <v>77</v>
      </c>
      <c r="J310" s="29" t="str">
        <f t="shared" si="36"/>
        <v>Salary</v>
      </c>
      <c r="K310" s="29" t="s">
        <v>56</v>
      </c>
      <c r="L310" s="29" t="str">
        <f t="shared" si="37"/>
        <v>Withdrawal</v>
      </c>
      <c r="M310" s="29" t="s">
        <v>60</v>
      </c>
      <c r="N310" s="29" t="str">
        <f t="shared" si="38"/>
        <v>Mobile App</v>
      </c>
      <c r="O310" s="29" t="s">
        <v>61</v>
      </c>
      <c r="P310" s="32">
        <v>42615.51</v>
      </c>
      <c r="Q310" s="32">
        <v>0</v>
      </c>
      <c r="R310" s="32" t="str">
        <f t="shared" si="39"/>
        <v>Completed</v>
      </c>
      <c r="S310" s="29" t="s">
        <v>45</v>
      </c>
      <c r="T310" s="29" t="s">
        <v>46</v>
      </c>
    </row>
    <row r="311" spans="1:20">
      <c r="A311" s="29" t="s">
        <v>394</v>
      </c>
      <c r="B311" s="33" t="str">
        <f t="shared" si="32"/>
        <v>05-26</v>
      </c>
      <c r="C311" s="30">
        <v>46156</v>
      </c>
      <c r="D311" s="31" t="str">
        <f t="shared" si="33"/>
        <v>Sukher</v>
      </c>
      <c r="E311" s="29" t="s">
        <v>408</v>
      </c>
      <c r="F311" s="29" t="str">
        <f t="shared" si="34"/>
        <v>Sukher</v>
      </c>
      <c r="G311" s="29" t="s">
        <v>408</v>
      </c>
      <c r="H311" s="29" t="str">
        <f t="shared" si="35"/>
        <v>Sme</v>
      </c>
      <c r="I311" s="29" t="s">
        <v>55</v>
      </c>
      <c r="J311" s="29" t="str">
        <f t="shared" si="36"/>
        <v>Current</v>
      </c>
      <c r="K311" s="29" t="s">
        <v>50</v>
      </c>
      <c r="L311" s="29" t="str">
        <f t="shared" si="37"/>
        <v>Deposit</v>
      </c>
      <c r="M311" s="29" t="s">
        <v>43</v>
      </c>
      <c r="N311" s="29" t="str">
        <f t="shared" si="38"/>
        <v>Mobile App</v>
      </c>
      <c r="O311" s="29" t="s">
        <v>61</v>
      </c>
      <c r="P311" s="32">
        <v>99748.23</v>
      </c>
      <c r="Q311" s="32">
        <v>0</v>
      </c>
      <c r="R311" s="32" t="str">
        <f t="shared" si="39"/>
        <v>Completed</v>
      </c>
      <c r="S311" s="29" t="s">
        <v>45</v>
      </c>
      <c r="T311" s="29" t="s">
        <v>65</v>
      </c>
    </row>
    <row r="312" spans="1:20">
      <c r="A312" s="29" t="s">
        <v>395</v>
      </c>
      <c r="B312" s="33" t="str">
        <f t="shared" si="32"/>
        <v>06-25</v>
      </c>
      <c r="C312" s="30">
        <v>45826</v>
      </c>
      <c r="D312" s="31" t="str">
        <f t="shared" si="33"/>
        <v>Sukher</v>
      </c>
      <c r="E312" s="29" t="s">
        <v>408</v>
      </c>
      <c r="F312" s="29" t="str">
        <f t="shared" si="34"/>
        <v>Sukher</v>
      </c>
      <c r="G312" s="29" t="s">
        <v>408</v>
      </c>
      <c r="H312" s="29" t="str">
        <f t="shared" si="35"/>
        <v>Retail</v>
      </c>
      <c r="I312" s="29" t="s">
        <v>77</v>
      </c>
      <c r="J312" s="29" t="str">
        <f t="shared" si="36"/>
        <v>Salary</v>
      </c>
      <c r="K312" s="29" t="s">
        <v>56</v>
      </c>
      <c r="L312" s="29" t="str">
        <f t="shared" si="37"/>
        <v>Transfer</v>
      </c>
      <c r="M312" s="29" t="s">
        <v>83</v>
      </c>
      <c r="N312" s="29" t="str">
        <f t="shared" si="38"/>
        <v>Branch</v>
      </c>
      <c r="O312" s="29" t="s">
        <v>30</v>
      </c>
      <c r="P312" s="32">
        <v>93723.35</v>
      </c>
      <c r="Q312" s="32">
        <v>171.19</v>
      </c>
      <c r="R312" s="32" t="str">
        <f t="shared" si="39"/>
        <v>Completed</v>
      </c>
      <c r="S312" s="29" t="s">
        <v>45</v>
      </c>
      <c r="T312" s="29" t="s">
        <v>70</v>
      </c>
    </row>
    <row r="313" spans="1:20">
      <c r="A313" s="29" t="s">
        <v>396</v>
      </c>
      <c r="B313" s="33" t="str">
        <f t="shared" si="32"/>
        <v>05-25</v>
      </c>
      <c r="C313" s="30">
        <v>45780</v>
      </c>
      <c r="D313" s="31" t="str">
        <f t="shared" si="33"/>
        <v>Larkana</v>
      </c>
      <c r="E313" s="29" t="s">
        <v>48</v>
      </c>
      <c r="F313" s="29" t="str">
        <f t="shared" si="34"/>
        <v>Larkana</v>
      </c>
      <c r="G313" s="29" t="s">
        <v>48</v>
      </c>
      <c r="H313" s="29" t="str">
        <f t="shared" si="35"/>
        <v>Corporate</v>
      </c>
      <c r="I313" s="29" t="s">
        <v>64</v>
      </c>
      <c r="J313" s="29" t="str">
        <f t="shared" si="36"/>
        <v>Salary</v>
      </c>
      <c r="K313" s="29" t="s">
        <v>56</v>
      </c>
      <c r="L313" s="29" t="str">
        <f t="shared" si="37"/>
        <v>Withdrawal</v>
      </c>
      <c r="M313" s="29" t="s">
        <v>60</v>
      </c>
      <c r="N313" s="29" t="str">
        <f t="shared" si="38"/>
        <v>Atm</v>
      </c>
      <c r="O313" s="29" t="s">
        <v>52</v>
      </c>
      <c r="P313" s="32">
        <v>13395.41</v>
      </c>
      <c r="Q313" s="32">
        <v>0</v>
      </c>
      <c r="R313" s="32" t="str">
        <f t="shared" si="39"/>
        <v>Completed</v>
      </c>
      <c r="S313" s="29" t="s">
        <v>45</v>
      </c>
      <c r="T313" s="29" t="s">
        <v>70</v>
      </c>
    </row>
    <row r="314" spans="1:20">
      <c r="A314" s="29" t="s">
        <v>397</v>
      </c>
      <c r="B314" s="33" t="str">
        <f t="shared" si="32"/>
        <v>01-26</v>
      </c>
      <c r="C314" s="30">
        <v>46032</v>
      </c>
      <c r="D314" s="31" t="str">
        <f t="shared" si="33"/>
        <v>Nawabshah</v>
      </c>
      <c r="E314" s="29" t="s">
        <v>67</v>
      </c>
      <c r="F314" s="29" t="str">
        <f t="shared" si="34"/>
        <v>Shaheed Benazirabad</v>
      </c>
      <c r="G314" s="29" t="s">
        <v>68</v>
      </c>
      <c r="H314" s="29" t="str">
        <f t="shared" si="35"/>
        <v>Retail</v>
      </c>
      <c r="I314" s="29" t="s">
        <v>77</v>
      </c>
      <c r="J314" s="29" t="str">
        <f t="shared" si="36"/>
        <v>Salary</v>
      </c>
      <c r="K314" s="29" t="s">
        <v>56</v>
      </c>
      <c r="L314" s="29" t="str">
        <f t="shared" si="37"/>
        <v>Withdrawal</v>
      </c>
      <c r="M314" s="29" t="s">
        <v>60</v>
      </c>
      <c r="N314" s="29" t="str">
        <f t="shared" si="38"/>
        <v>Atm</v>
      </c>
      <c r="O314" s="29" t="s">
        <v>52</v>
      </c>
      <c r="P314" s="32">
        <v>34857.96</v>
      </c>
      <c r="Q314" s="32">
        <v>0</v>
      </c>
      <c r="R314" s="32" t="str">
        <f t="shared" si="39"/>
        <v>Completed</v>
      </c>
      <c r="S314" s="29" t="s">
        <v>45</v>
      </c>
      <c r="T314" s="29" t="s">
        <v>75</v>
      </c>
    </row>
    <row r="315" spans="1:20">
      <c r="A315" s="29" t="s">
        <v>398</v>
      </c>
      <c r="B315" s="33" t="str">
        <f t="shared" si="32"/>
        <v>08-25</v>
      </c>
      <c r="C315" s="30">
        <v>45882</v>
      </c>
      <c r="D315" s="31" t="str">
        <f t="shared" si="33"/>
        <v>Karachi Main</v>
      </c>
      <c r="E315" s="29" t="s">
        <v>73</v>
      </c>
      <c r="F315" s="29" t="str">
        <f t="shared" si="34"/>
        <v>Karachi</v>
      </c>
      <c r="G315" s="29" t="s">
        <v>74</v>
      </c>
      <c r="H315" s="29" t="str">
        <f t="shared" si="35"/>
        <v>Premium</v>
      </c>
      <c r="I315" s="29" t="s">
        <v>49</v>
      </c>
      <c r="J315" s="29" t="str">
        <f t="shared" si="36"/>
        <v>Current</v>
      </c>
      <c r="K315" s="29" t="s">
        <v>50</v>
      </c>
      <c r="L315" s="29" t="str">
        <f t="shared" si="37"/>
        <v>Withdrawal</v>
      </c>
      <c r="M315" s="29" t="s">
        <v>60</v>
      </c>
      <c r="N315" s="29" t="str">
        <f t="shared" si="38"/>
        <v>Internet Banking</v>
      </c>
      <c r="O315" s="29" t="s">
        <v>78</v>
      </c>
      <c r="P315" s="32">
        <v>44964.480000000003</v>
      </c>
      <c r="Q315" s="32">
        <v>0</v>
      </c>
      <c r="R315" s="32" t="str">
        <f t="shared" si="39"/>
        <v>Completed</v>
      </c>
      <c r="S315" s="29" t="s">
        <v>45</v>
      </c>
      <c r="T315" s="29" t="s">
        <v>46</v>
      </c>
    </row>
    <row r="316" spans="1:20">
      <c r="A316" s="29" t="s">
        <v>399</v>
      </c>
      <c r="B316" s="33" t="str">
        <f t="shared" si="32"/>
        <v>06-25</v>
      </c>
      <c r="C316" s="30">
        <v>45821</v>
      </c>
      <c r="D316" s="31" t="str">
        <f t="shared" si="33"/>
        <v>Larkana</v>
      </c>
      <c r="E316" s="29" t="s">
        <v>48</v>
      </c>
      <c r="F316" s="29" t="str">
        <f t="shared" si="34"/>
        <v>Larkana</v>
      </c>
      <c r="G316" s="29" t="s">
        <v>48</v>
      </c>
      <c r="H316" s="29" t="str">
        <f t="shared" si="35"/>
        <v>Premium</v>
      </c>
      <c r="I316" s="29" t="s">
        <v>49</v>
      </c>
      <c r="J316" s="29" t="str">
        <f t="shared" si="36"/>
        <v>Current</v>
      </c>
      <c r="K316" s="29" t="s">
        <v>50</v>
      </c>
      <c r="L316" s="29" t="str">
        <f t="shared" si="37"/>
        <v>Bill Payment</v>
      </c>
      <c r="M316" s="29" t="s">
        <v>51</v>
      </c>
      <c r="N316" s="29" t="str">
        <f t="shared" si="38"/>
        <v>Internet Banking</v>
      </c>
      <c r="O316" s="29" t="s">
        <v>78</v>
      </c>
      <c r="P316" s="32">
        <v>15362.97</v>
      </c>
      <c r="Q316" s="32">
        <v>11.87</v>
      </c>
      <c r="R316" s="32" t="str">
        <f t="shared" si="39"/>
        <v>Completed</v>
      </c>
      <c r="S316" s="29" t="s">
        <v>45</v>
      </c>
      <c r="T316" s="29" t="s">
        <v>57</v>
      </c>
    </row>
    <row r="317" spans="1:20">
      <c r="A317" s="29" t="s">
        <v>400</v>
      </c>
      <c r="B317" s="33" t="str">
        <f t="shared" si="32"/>
        <v>07-26</v>
      </c>
      <c r="C317" s="30">
        <v>46224</v>
      </c>
      <c r="D317" s="31" t="str">
        <f t="shared" si="33"/>
        <v>Larkana</v>
      </c>
      <c r="E317" s="29" t="s">
        <v>48</v>
      </c>
      <c r="F317" s="29" t="str">
        <f t="shared" si="34"/>
        <v>Larkana</v>
      </c>
      <c r="G317" s="29" t="s">
        <v>48</v>
      </c>
      <c r="H317" s="29" t="str">
        <f t="shared" si="35"/>
        <v>Sme</v>
      </c>
      <c r="I317" s="29" t="s">
        <v>55</v>
      </c>
      <c r="J317" s="29" t="str">
        <f t="shared" si="36"/>
        <v>Salary</v>
      </c>
      <c r="K317" s="29" t="s">
        <v>56</v>
      </c>
      <c r="L317" s="29" t="str">
        <f t="shared" si="37"/>
        <v>Withdrawal</v>
      </c>
      <c r="M317" s="29" t="s">
        <v>60</v>
      </c>
      <c r="N317" s="29" t="str">
        <f t="shared" si="38"/>
        <v>Branch</v>
      </c>
      <c r="O317" s="29" t="s">
        <v>30</v>
      </c>
      <c r="P317" s="32">
        <v>66024.52</v>
      </c>
      <c r="Q317" s="32">
        <v>0</v>
      </c>
      <c r="R317" s="32" t="str">
        <f t="shared" si="39"/>
        <v>Completed</v>
      </c>
      <c r="S317" s="29" t="s">
        <v>45</v>
      </c>
      <c r="T317" s="29" t="s">
        <v>53</v>
      </c>
    </row>
    <row r="318" spans="1:20">
      <c r="A318" s="29" t="s">
        <v>401</v>
      </c>
      <c r="B318" s="33" t="str">
        <f t="shared" si="32"/>
        <v>03-25</v>
      </c>
      <c r="C318" s="30">
        <v>45742</v>
      </c>
      <c r="D318" s="31" t="str">
        <f t="shared" si="33"/>
        <v>Nawabshah</v>
      </c>
      <c r="E318" s="29" t="s">
        <v>67</v>
      </c>
      <c r="F318" s="29" t="str">
        <f t="shared" si="34"/>
        <v>Shaheed Benazirabad</v>
      </c>
      <c r="G318" s="29" t="s">
        <v>68</v>
      </c>
      <c r="H318" s="29" t="str">
        <f t="shared" si="35"/>
        <v>Corporate</v>
      </c>
      <c r="I318" s="29" t="s">
        <v>64</v>
      </c>
      <c r="J318" s="29" t="str">
        <f t="shared" si="36"/>
        <v>Salary</v>
      </c>
      <c r="K318" s="29" t="s">
        <v>56</v>
      </c>
      <c r="L318" s="29" t="str">
        <f t="shared" si="37"/>
        <v>Deposit</v>
      </c>
      <c r="M318" s="29" t="s">
        <v>43</v>
      </c>
      <c r="N318" s="29" t="str">
        <f t="shared" si="38"/>
        <v>Mobile App</v>
      </c>
      <c r="O318" s="29" t="s">
        <v>61</v>
      </c>
      <c r="P318" s="32">
        <v>50021.7</v>
      </c>
      <c r="Q318" s="32">
        <v>0</v>
      </c>
      <c r="R318" s="32" t="str">
        <f t="shared" si="39"/>
        <v>Completed</v>
      </c>
      <c r="S318" s="29" t="s">
        <v>45</v>
      </c>
      <c r="T318" s="29" t="s">
        <v>75</v>
      </c>
    </row>
    <row r="319" spans="1:20">
      <c r="A319" s="29" t="s">
        <v>402</v>
      </c>
      <c r="B319" s="33" t="str">
        <f t="shared" si="32"/>
        <v>02-25</v>
      </c>
      <c r="C319" s="30">
        <v>45692</v>
      </c>
      <c r="D319" s="31" t="str">
        <f t="shared" si="33"/>
        <v>Sukher</v>
      </c>
      <c r="E319" s="29" t="s">
        <v>408</v>
      </c>
      <c r="F319" s="29" t="str">
        <f t="shared" si="34"/>
        <v>Sukher</v>
      </c>
      <c r="G319" s="29" t="s">
        <v>408</v>
      </c>
      <c r="H319" s="29" t="str">
        <f t="shared" si="35"/>
        <v>Sme</v>
      </c>
      <c r="I319" s="29" t="s">
        <v>55</v>
      </c>
      <c r="J319" s="29" t="str">
        <f t="shared" si="36"/>
        <v>Salary</v>
      </c>
      <c r="K319" s="29" t="s">
        <v>56</v>
      </c>
      <c r="L319" s="29" t="str">
        <f t="shared" si="37"/>
        <v>Withdrawal</v>
      </c>
      <c r="M319" s="29" t="s">
        <v>60</v>
      </c>
      <c r="N319" s="29" t="str">
        <f t="shared" si="38"/>
        <v>Branch</v>
      </c>
      <c r="O319" s="29" t="s">
        <v>30</v>
      </c>
      <c r="P319" s="32">
        <v>2076.13</v>
      </c>
      <c r="Q319" s="32">
        <v>0</v>
      </c>
      <c r="R319" s="32" t="str">
        <f t="shared" si="39"/>
        <v>Completed</v>
      </c>
      <c r="S319" s="29" t="s">
        <v>45</v>
      </c>
      <c r="T319" s="29" t="s">
        <v>57</v>
      </c>
    </row>
    <row r="320" spans="1:20">
      <c r="A320" s="29" t="s">
        <v>403</v>
      </c>
      <c r="B320" s="33" t="str">
        <f t="shared" si="32"/>
        <v>09-26</v>
      </c>
      <c r="C320" s="30">
        <v>46276</v>
      </c>
      <c r="D320" s="31" t="str">
        <f t="shared" si="33"/>
        <v>Karachi Main</v>
      </c>
      <c r="E320" s="29" t="s">
        <v>73</v>
      </c>
      <c r="F320" s="29" t="str">
        <f t="shared" si="34"/>
        <v>Karachi</v>
      </c>
      <c r="G320" s="29" t="s">
        <v>74</v>
      </c>
      <c r="H320" s="29" t="str">
        <f t="shared" si="35"/>
        <v>Premium</v>
      </c>
      <c r="I320" s="29" t="s">
        <v>49</v>
      </c>
      <c r="J320" s="29" t="str">
        <f t="shared" si="36"/>
        <v>Savings</v>
      </c>
      <c r="K320" s="29" t="s">
        <v>69</v>
      </c>
      <c r="L320" s="29" t="str">
        <f t="shared" si="37"/>
        <v>Withdrawal</v>
      </c>
      <c r="M320" s="29" t="s">
        <v>60</v>
      </c>
      <c r="N320" s="29" t="str">
        <f t="shared" si="38"/>
        <v>Atm</v>
      </c>
      <c r="O320" s="29" t="s">
        <v>404</v>
      </c>
      <c r="P320" s="32">
        <v>10656.41</v>
      </c>
      <c r="Q320" s="32">
        <v>0</v>
      </c>
      <c r="R320" s="32" t="str">
        <f t="shared" si="39"/>
        <v>Completed</v>
      </c>
      <c r="S320" s="29" t="s">
        <v>45</v>
      </c>
      <c r="T320" s="29" t="s">
        <v>53</v>
      </c>
    </row>
    <row r="321" spans="1:20">
      <c r="A321" s="29" t="s">
        <v>405</v>
      </c>
      <c r="B321" s="33" t="str">
        <f t="shared" si="32"/>
        <v>06-25</v>
      </c>
      <c r="C321" s="30">
        <v>45826</v>
      </c>
      <c r="D321" s="31" t="str">
        <f t="shared" si="33"/>
        <v>Sukher</v>
      </c>
      <c r="E321" s="29" t="s">
        <v>408</v>
      </c>
      <c r="F321" s="29" t="str">
        <f t="shared" si="34"/>
        <v>Sukher</v>
      </c>
      <c r="G321" s="29" t="s">
        <v>408</v>
      </c>
      <c r="H321" s="29" t="str">
        <f t="shared" si="35"/>
        <v>Premium</v>
      </c>
      <c r="I321" s="29" t="s">
        <v>49</v>
      </c>
      <c r="J321" s="29" t="str">
        <f t="shared" si="36"/>
        <v>Savings</v>
      </c>
      <c r="K321" s="29" t="s">
        <v>69</v>
      </c>
      <c r="L321" s="29" t="str">
        <f t="shared" si="37"/>
        <v>Bill Payment</v>
      </c>
      <c r="M321" s="29" t="s">
        <v>51</v>
      </c>
      <c r="N321" s="29" t="str">
        <f t="shared" si="38"/>
        <v>Atm</v>
      </c>
      <c r="O321" s="29" t="s">
        <v>52</v>
      </c>
      <c r="P321" s="32">
        <v>25781.84</v>
      </c>
      <c r="Q321" s="32">
        <v>38.61</v>
      </c>
      <c r="R321" s="32" t="str">
        <f t="shared" si="39"/>
        <v>Completed</v>
      </c>
      <c r="S321" s="29" t="s">
        <v>45</v>
      </c>
      <c r="T321" s="29" t="s">
        <v>70</v>
      </c>
    </row>
  </sheetData>
  <conditionalFormatting sqref="A2:T321">
    <cfRule type="duplicateValues" dxfId="2" priority="7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29"/>
  <sheetViews>
    <sheetView workbookViewId="0">
      <selection activeCell="F6" sqref="F6"/>
    </sheetView>
  </sheetViews>
  <sheetFormatPr defaultRowHeight="14"/>
  <cols>
    <col min="1" max="1" width="12.9140625" bestFit="1" customWidth="1"/>
    <col min="2" max="2" width="22.9140625" customWidth="1"/>
    <col min="3" max="4" width="15.58203125" bestFit="1" customWidth="1"/>
    <col min="5" max="5" width="20.83203125" customWidth="1"/>
    <col min="6" max="24" width="15.58203125" bestFit="1" customWidth="1"/>
    <col min="25" max="25" width="10.83203125" bestFit="1" customWidth="1"/>
  </cols>
  <sheetData>
    <row r="2" spans="4:5" ht="35" customHeight="1">
      <c r="D2" s="34" t="s">
        <v>454</v>
      </c>
      <c r="E2" s="34"/>
    </row>
    <row r="3" spans="4:5">
      <c r="D3" s="24" t="s">
        <v>444</v>
      </c>
      <c r="E3" s="26" t="s">
        <v>445</v>
      </c>
    </row>
    <row r="4" spans="4:5">
      <c r="D4" s="35" t="s">
        <v>419</v>
      </c>
      <c r="E4" s="36">
        <v>1435426.7100000002</v>
      </c>
    </row>
    <row r="5" spans="4:5">
      <c r="D5" s="35" t="s">
        <v>420</v>
      </c>
      <c r="E5" s="36">
        <v>676139.09</v>
      </c>
    </row>
    <row r="6" spans="4:5">
      <c r="D6" s="35" t="s">
        <v>421</v>
      </c>
      <c r="E6" s="36">
        <v>635804.57999999996</v>
      </c>
    </row>
    <row r="7" spans="4:5">
      <c r="D7" s="35" t="s">
        <v>422</v>
      </c>
      <c r="E7" s="36">
        <v>309390.96000000002</v>
      </c>
    </row>
    <row r="8" spans="4:5">
      <c r="D8" s="35" t="s">
        <v>423</v>
      </c>
      <c r="E8" s="36">
        <v>865929.8</v>
      </c>
    </row>
    <row r="9" spans="4:5">
      <c r="D9" s="35" t="s">
        <v>424</v>
      </c>
      <c r="E9" s="36">
        <v>610900.18000000005</v>
      </c>
    </row>
    <row r="10" spans="4:5">
      <c r="D10" s="35" t="s">
        <v>425</v>
      </c>
      <c r="E10" s="36">
        <v>961108.5</v>
      </c>
    </row>
    <row r="11" spans="4:5">
      <c r="D11" s="35" t="s">
        <v>426</v>
      </c>
      <c r="E11" s="36">
        <v>298796.85000000003</v>
      </c>
    </row>
    <row r="12" spans="4:5">
      <c r="D12" s="35" t="s">
        <v>427</v>
      </c>
      <c r="E12" s="36">
        <v>741966.07</v>
      </c>
    </row>
    <row r="13" spans="4:5">
      <c r="D13" s="35" t="s">
        <v>428</v>
      </c>
      <c r="E13" s="36">
        <v>323732.56</v>
      </c>
    </row>
    <row r="14" spans="4:5">
      <c r="D14" s="35" t="s">
        <v>429</v>
      </c>
      <c r="E14" s="36">
        <v>921863.82999999961</v>
      </c>
    </row>
    <row r="15" spans="4:5">
      <c r="D15" s="35" t="s">
        <v>430</v>
      </c>
      <c r="E15" s="36">
        <v>336256.62</v>
      </c>
    </row>
    <row r="16" spans="4:5">
      <c r="D16" s="35" t="s">
        <v>431</v>
      </c>
      <c r="E16" s="36">
        <v>1044493.6300000001</v>
      </c>
    </row>
    <row r="17" spans="4:5">
      <c r="D17" s="35" t="s">
        <v>432</v>
      </c>
      <c r="E17" s="36">
        <v>379579.06</v>
      </c>
    </row>
    <row r="18" spans="4:5">
      <c r="D18" s="35" t="s">
        <v>433</v>
      </c>
      <c r="E18" s="36">
        <v>604513.6100000001</v>
      </c>
    </row>
    <row r="19" spans="4:5">
      <c r="D19" s="35" t="s">
        <v>434</v>
      </c>
      <c r="E19" s="36">
        <v>610095.59</v>
      </c>
    </row>
    <row r="20" spans="4:5">
      <c r="D20" s="35" t="s">
        <v>435</v>
      </c>
      <c r="E20" s="36">
        <v>990506.85000000009</v>
      </c>
    </row>
    <row r="21" spans="4:5">
      <c r="D21" s="35" t="s">
        <v>436</v>
      </c>
      <c r="E21" s="36">
        <v>532863.03</v>
      </c>
    </row>
    <row r="22" spans="4:5">
      <c r="D22" s="35" t="s">
        <v>437</v>
      </c>
      <c r="E22" s="36">
        <v>1068060.5899999996</v>
      </c>
    </row>
    <row r="23" spans="4:5">
      <c r="D23" s="35" t="s">
        <v>438</v>
      </c>
      <c r="E23" s="36">
        <v>621396.14</v>
      </c>
    </row>
    <row r="24" spans="4:5">
      <c r="D24" s="35" t="s">
        <v>439</v>
      </c>
      <c r="E24" s="36">
        <v>758332.35</v>
      </c>
    </row>
    <row r="25" spans="4:5">
      <c r="D25" s="35" t="s">
        <v>440</v>
      </c>
      <c r="E25" s="36">
        <v>438667.4</v>
      </c>
    </row>
    <row r="26" spans="4:5">
      <c r="D26" s="35" t="s">
        <v>441</v>
      </c>
      <c r="E26" s="36">
        <v>417474.31000000006</v>
      </c>
    </row>
    <row r="27" spans="4:5">
      <c r="D27" s="35" t="s">
        <v>442</v>
      </c>
      <c r="E27" s="36">
        <v>264623.11</v>
      </c>
    </row>
    <row r="28" spans="4:5">
      <c r="D28" s="21" t="s">
        <v>443</v>
      </c>
      <c r="E28" s="25">
        <v>15847921.419999998</v>
      </c>
    </row>
    <row r="29" spans="4:5">
      <c r="D29" s="21" t="s">
        <v>446</v>
      </c>
      <c r="E29">
        <f>AVERAGE(E4:E27)</f>
        <v>660330.05916666659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12"/>
  <sheetViews>
    <sheetView workbookViewId="0">
      <selection activeCell="H9" sqref="H9"/>
    </sheetView>
  </sheetViews>
  <sheetFormatPr defaultRowHeight="14"/>
  <cols>
    <col min="1" max="1" width="12.9140625" customWidth="1"/>
    <col min="2" max="2" width="21.25" customWidth="1"/>
    <col min="3" max="5" width="15.58203125" bestFit="1" customWidth="1"/>
    <col min="6" max="6" width="10.83203125" bestFit="1" customWidth="1"/>
  </cols>
  <sheetData>
    <row r="5" spans="4:5" ht="29.5" customHeight="1">
      <c r="D5" s="34" t="s">
        <v>455</v>
      </c>
      <c r="E5" s="34"/>
    </row>
    <row r="6" spans="4:5">
      <c r="D6" s="24" t="s">
        <v>444</v>
      </c>
      <c r="E6" s="26" t="s">
        <v>445</v>
      </c>
    </row>
    <row r="7" spans="4:5">
      <c r="D7" s="35" t="s">
        <v>63</v>
      </c>
      <c r="E7" s="36">
        <v>3393924.8000000003</v>
      </c>
    </row>
    <row r="8" spans="4:5">
      <c r="D8" s="35" t="s">
        <v>73</v>
      </c>
      <c r="E8" s="36">
        <v>3712709.3399999985</v>
      </c>
    </row>
    <row r="9" spans="4:5">
      <c r="D9" s="35" t="s">
        <v>48</v>
      </c>
      <c r="E9" s="36">
        <v>3244778.6300000004</v>
      </c>
    </row>
    <row r="10" spans="4:5">
      <c r="D10" s="35" t="s">
        <v>67</v>
      </c>
      <c r="E10" s="36">
        <v>1955936.4799999997</v>
      </c>
    </row>
    <row r="11" spans="4:5">
      <c r="D11" s="35" t="s">
        <v>408</v>
      </c>
      <c r="E11" s="36">
        <v>3540572.1699999981</v>
      </c>
    </row>
    <row r="12" spans="4:5">
      <c r="D12" s="21" t="s">
        <v>443</v>
      </c>
      <c r="E12" s="25">
        <v>15847921.419999998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G9"/>
  <sheetViews>
    <sheetView workbookViewId="0">
      <selection activeCell="G13" sqref="G13"/>
    </sheetView>
  </sheetViews>
  <sheetFormatPr defaultRowHeight="14"/>
  <cols>
    <col min="1" max="1" width="12.9140625" customWidth="1"/>
    <col min="2" max="2" width="14.1640625" bestFit="1" customWidth="1"/>
    <col min="6" max="6" width="15.33203125" customWidth="1"/>
    <col min="7" max="7" width="29.25" customWidth="1"/>
  </cols>
  <sheetData>
    <row r="5" spans="6:7" ht="18">
      <c r="F5" s="34" t="s">
        <v>456</v>
      </c>
      <c r="G5" s="34"/>
    </row>
    <row r="6" spans="6:7">
      <c r="F6" s="24" t="s">
        <v>444</v>
      </c>
      <c r="G6" s="26" t="s">
        <v>447</v>
      </c>
    </row>
    <row r="7" spans="6:7">
      <c r="F7" s="35" t="s">
        <v>45</v>
      </c>
      <c r="G7" s="36">
        <v>299</v>
      </c>
    </row>
    <row r="8" spans="6:7">
      <c r="F8" s="35" t="s">
        <v>84</v>
      </c>
      <c r="G8" s="36">
        <v>21</v>
      </c>
    </row>
    <row r="9" spans="6:7">
      <c r="F9" s="21" t="s">
        <v>443</v>
      </c>
      <c r="G9" s="25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E14"/>
  <sheetViews>
    <sheetView workbookViewId="0">
      <selection activeCell="E17" sqref="E17"/>
    </sheetView>
  </sheetViews>
  <sheetFormatPr defaultRowHeight="14"/>
  <cols>
    <col min="1" max="1" width="13.58203125" bestFit="1" customWidth="1"/>
    <col min="2" max="2" width="23.08203125" customWidth="1"/>
    <col min="3" max="3" width="25.58203125" customWidth="1"/>
    <col min="4" max="4" width="16.6640625" customWidth="1"/>
    <col min="5" max="5" width="24" customWidth="1"/>
  </cols>
  <sheetData>
    <row r="8" spans="3:5" ht="18">
      <c r="C8" s="37" t="s">
        <v>457</v>
      </c>
      <c r="D8" s="37"/>
      <c r="E8" s="37"/>
    </row>
    <row r="9" spans="3:5">
      <c r="C9" s="24" t="s">
        <v>444</v>
      </c>
      <c r="D9" t="s">
        <v>450</v>
      </c>
      <c r="E9" t="s">
        <v>451</v>
      </c>
    </row>
    <row r="10" spans="3:5">
      <c r="C10" s="35" t="s">
        <v>449</v>
      </c>
      <c r="D10" s="36">
        <v>76</v>
      </c>
      <c r="E10" s="36">
        <v>76</v>
      </c>
    </row>
    <row r="11" spans="3:5">
      <c r="C11" s="35" t="s">
        <v>30</v>
      </c>
      <c r="D11" s="36">
        <v>88</v>
      </c>
      <c r="E11" s="36">
        <v>88</v>
      </c>
    </row>
    <row r="12" spans="3:5">
      <c r="C12" s="35" t="s">
        <v>78</v>
      </c>
      <c r="D12" s="36">
        <v>84</v>
      </c>
      <c r="E12" s="36">
        <v>84</v>
      </c>
    </row>
    <row r="13" spans="3:5">
      <c r="C13" s="35" t="s">
        <v>61</v>
      </c>
      <c r="D13" s="36">
        <v>72</v>
      </c>
      <c r="E13" s="36">
        <v>72</v>
      </c>
    </row>
    <row r="14" spans="3:5">
      <c r="C14" s="21" t="s">
        <v>443</v>
      </c>
      <c r="D14" s="25">
        <v>320</v>
      </c>
      <c r="E14" s="25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2"/>
  <sheetViews>
    <sheetView tabSelected="1" workbookViewId="0">
      <selection activeCell="C8" sqref="C8"/>
    </sheetView>
  </sheetViews>
  <sheetFormatPr defaultRowHeight="14"/>
  <cols>
    <col min="1" max="1" width="12.9140625" bestFit="1" customWidth="1"/>
    <col min="2" max="2" width="25.33203125" bestFit="1" customWidth="1"/>
    <col min="3" max="3" width="14.08203125" bestFit="1" customWidth="1"/>
    <col min="4" max="4" width="12.75" customWidth="1"/>
    <col min="5" max="5" width="26.5" customWidth="1"/>
    <col min="6" max="6" width="26.9140625" customWidth="1"/>
  </cols>
  <sheetData>
    <row r="5" spans="4:6" ht="34" customHeight="1">
      <c r="D5" s="34" t="s">
        <v>458</v>
      </c>
      <c r="E5" s="34"/>
      <c r="F5" s="34"/>
    </row>
    <row r="6" spans="4:6">
      <c r="D6" s="24" t="s">
        <v>444</v>
      </c>
      <c r="E6" t="s">
        <v>453</v>
      </c>
      <c r="F6" t="s">
        <v>445</v>
      </c>
    </row>
    <row r="7" spans="4:6">
      <c r="D7" s="35" t="s">
        <v>64</v>
      </c>
      <c r="E7" s="36">
        <v>67</v>
      </c>
      <c r="F7" s="36">
        <v>3841443.9699999993</v>
      </c>
    </row>
    <row r="8" spans="4:6">
      <c r="D8" s="35" t="s">
        <v>49</v>
      </c>
      <c r="E8" s="36">
        <v>91</v>
      </c>
      <c r="F8" s="36">
        <v>4191040.2299999986</v>
      </c>
    </row>
    <row r="9" spans="4:6">
      <c r="D9" s="35" t="s">
        <v>77</v>
      </c>
      <c r="E9" s="36">
        <v>78</v>
      </c>
      <c r="F9" s="36">
        <v>3558068.1800000006</v>
      </c>
    </row>
    <row r="10" spans="4:6">
      <c r="D10" s="35" t="s">
        <v>452</v>
      </c>
      <c r="E10" s="36">
        <v>83</v>
      </c>
      <c r="F10" s="36">
        <v>4248212.4699999979</v>
      </c>
    </row>
    <row r="11" spans="4:6">
      <c r="D11" s="35" t="s">
        <v>411</v>
      </c>
      <c r="E11" s="36">
        <v>1</v>
      </c>
      <c r="F11" s="36">
        <v>9156.57</v>
      </c>
    </row>
    <row r="12" spans="4:6">
      <c r="D12" s="21" t="s">
        <v>443</v>
      </c>
      <c r="E12" s="25">
        <v>320</v>
      </c>
      <c r="F12" s="25">
        <v>15847921.419999989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Practice</vt:lpstr>
      <vt:lpstr>Raw Banking Data</vt:lpstr>
      <vt:lpstr>Clean Bank Data</vt:lpstr>
      <vt:lpstr>Monthlly_Transection_Analysis</vt:lpstr>
      <vt:lpstr>Transection_By_Branch</vt:lpstr>
      <vt:lpstr>Completed_tr_ratio</vt:lpstr>
      <vt:lpstr>Channal_channal and id</vt:lpstr>
      <vt:lpstr>Sagment_Amout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2026-09-29T08:37:24Z</dcterms:modified>
</cp:coreProperties>
</file>